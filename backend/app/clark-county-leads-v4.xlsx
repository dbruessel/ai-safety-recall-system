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Database" sheetId="1" state="visible" r:id="rId1"/>
    <sheet xmlns:r="http://schemas.openxmlformats.org/officeDocument/2006/relationships" name="Outbound Funne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12"/>
    </font>
    <font>
      <name val="Calibri"/>
      <b val="1"/>
      <color rgb="00555555"/>
      <sz val="9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7" fillId="0" borderId="2" pivotButton="0" quotePrefix="0" xfId="0"/>
    <xf numFmtId="164" fontId="7" fillId="2" borderId="2" applyAlignment="1" pivotButton="0" quotePrefix="0" xfId="0">
      <alignment horizontal="right" vertical="center"/>
    </xf>
    <xf numFmtId="0" fontId="2" fillId="0" borderId="2" pivotButton="0" quotePrefix="0" xfId="0"/>
    <xf numFmtId="0" fontId="3" fillId="0" borderId="0" pivotButton="0" quotePrefix="0" xfId="0"/>
    <xf numFmtId="165" fontId="5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30" customWidth="1" min="4" max="4"/>
    <col width="25" customWidth="1" min="5" max="5"/>
    <col width="32" customWidth="1" min="6" max="6"/>
    <col width="30" customWidth="1" min="7" max="7"/>
    <col width="15" customWidth="1" min="8" max="8"/>
    <col width="17" customWidth="1" min="9" max="9"/>
    <col width="45" customWidth="1" min="10" max="10"/>
    <col width="19" customWidth="1" min="11" max="11"/>
    <col width="38" customWidth="1" min="12" max="12"/>
  </cols>
  <sheetData>
    <row r="1">
      <c r="A1" s="1" t="inlineStr">
        <is>
          <t>RecallLogic Clark County Target Prospect Database</t>
        </is>
      </c>
    </row>
    <row r="2">
      <c r="A2" s="2" t="inlineStr">
        <is>
          <t>Wave 1 Launch Focus (Clark County, NV) — Target: 50 Upgraded Subscriptions</t>
        </is>
      </c>
    </row>
    <row r="3"/>
    <row r="4">
      <c r="A4" s="3" t="inlineStr">
        <is>
          <t>KEY PERFORMANCE METRICS</t>
        </is>
      </c>
    </row>
    <row r="5">
      <c r="A5" s="4" t="inlineStr">
        <is>
          <t>Total Prospects</t>
        </is>
      </c>
      <c r="B5" s="5" t="n"/>
      <c r="D5" s="4" t="inlineStr">
        <is>
          <t>Monitored Vehicles</t>
        </is>
      </c>
      <c r="E5" s="5" t="n"/>
      <c r="G5" s="4" t="inlineStr">
        <is>
          <t>Est. Monthly Pipeline Value</t>
        </is>
      </c>
      <c r="H5" s="5" t="n"/>
      <c r="J5" s="4" t="inlineStr">
        <is>
          <t>Paid Conversion Rate</t>
        </is>
      </c>
      <c r="K5" s="5" t="n"/>
    </row>
    <row r="6">
      <c r="A6" s="6">
        <f>COUNTA(A11:A1030)</f>
        <v/>
      </c>
      <c r="B6" s="5" t="n"/>
      <c r="D6" s="6">
        <f>SUM(C11:C1030)</f>
        <v/>
      </c>
      <c r="E6" s="5" t="n"/>
      <c r="G6" s="6">
        <f>SUM(L11:L1030)</f>
        <v/>
      </c>
      <c r="H6" s="5" t="n"/>
      <c r="J6" s="6">
        <f>COUNTIF(K11:K1030, "Stripe Completed") / COUNTA(A11:A1030)</f>
        <v/>
      </c>
      <c r="K6" s="5" t="n"/>
    </row>
    <row r="7"/>
    <row r="8">
      <c r="A8" s="3" t="inlineStr">
        <is>
          <t>PROSPECT DATABASE</t>
        </is>
      </c>
    </row>
    <row r="9"/>
    <row r="10">
      <c r="A10" s="7" t="inlineStr">
        <is>
          <t>Company Name</t>
        </is>
      </c>
      <c r="B10" s="7" t="inlineStr">
        <is>
          <t>Industry / NAICS</t>
        </is>
      </c>
      <c r="C10" s="7" t="inlineStr">
        <is>
          <t>Est. Fleet Size</t>
        </is>
      </c>
      <c r="D10" s="7" t="inlineStr">
        <is>
          <t>Primary Vehicle Mix</t>
        </is>
      </c>
      <c r="E10" s="7" t="inlineStr">
        <is>
          <t>Primary Decision-Maker</t>
        </is>
      </c>
      <c r="F10" s="7" t="inlineStr">
        <is>
          <t>Direct Corporate Email</t>
        </is>
      </c>
      <c r="G10" s="7" t="inlineStr">
        <is>
          <t>Direct Phone Line</t>
        </is>
      </c>
      <c r="H10" s="7" t="inlineStr">
        <is>
          <t>USDOT Number</t>
        </is>
      </c>
      <c r="I10" s="7" t="inlineStr">
        <is>
          <t>USDOT OOS Rate</t>
        </is>
      </c>
      <c r="J10" s="7" t="inlineStr">
        <is>
          <t>Localized Threat Hook</t>
        </is>
      </c>
      <c r="K10" s="7" t="inlineStr">
        <is>
          <t>Lead Status</t>
        </is>
      </c>
      <c r="L10" s="7" t="inlineStr">
        <is>
          <t>Est. Contract Value (MRR)</t>
        </is>
      </c>
    </row>
    <row r="11">
      <c r="A11" s="8" t="inlineStr">
        <is>
          <t>Goettl Air Conditioning Inc</t>
        </is>
      </c>
      <c r="B11" s="9" t="inlineStr">
        <is>
          <t>HVAC/Plumbing</t>
        </is>
      </c>
      <c r="C11" s="10" t="n">
        <v>42</v>
      </c>
      <c r="D11" s="8" t="inlineStr">
        <is>
          <t>Ford Transit 250</t>
        </is>
      </c>
      <c r="E11" s="8" t="inlineStr">
        <is>
          <t>John Goettl</t>
        </is>
      </c>
      <c r="F11" s="8" t="inlineStr">
        <is>
          <t>john@goettl.com</t>
        </is>
      </c>
      <c r="G11" s="8" t="inlineStr">
        <is>
          <t>702-555-0192</t>
        </is>
      </c>
      <c r="H11" s="9" t="inlineStr">
        <is>
          <t>DOT31948</t>
        </is>
      </c>
      <c r="I11" s="11" t="n">
        <v>0.124</v>
      </c>
      <c r="J11" s="8" t="inlineStr">
        <is>
          <t>Transit 114°F Electrical Module Overheat Wire Ground Fire Risk</t>
        </is>
      </c>
      <c r="K11" s="9" t="inlineStr">
        <is>
          <t>Warm Prospect</t>
        </is>
      </c>
      <c r="L11" s="12">
        <f>IF(C11&gt;0, 99 + (C11 * 2.5), 0)</f>
        <v/>
      </c>
    </row>
    <row r="12">
      <c r="A12" s="13" t="inlineStr">
        <is>
          <t>Yes! Air Conditioning &amp; Plumbing</t>
        </is>
      </c>
      <c r="B12" s="14" t="inlineStr">
        <is>
          <t>HVAC/Plumbing</t>
        </is>
      </c>
      <c r="C12" s="15" t="n">
        <v>38</v>
      </c>
      <c r="D12" s="13" t="inlineStr">
        <is>
          <t>Ford Transit 350</t>
        </is>
      </c>
      <c r="E12" s="13" t="inlineStr">
        <is>
          <t>Mark Yes</t>
        </is>
      </c>
      <c r="F12" s="13" t="inlineStr">
        <is>
          <t>mark@yesac.com</t>
        </is>
      </c>
      <c r="G12" s="13" t="inlineStr">
        <is>
          <t>702-555-0144</t>
        </is>
      </c>
      <c r="H12" s="14" t="inlineStr">
        <is>
          <t>DOT58291</t>
        </is>
      </c>
      <c r="I12" s="16" t="n">
        <v>0.245</v>
      </c>
      <c r="J12" s="13" t="inlineStr">
        <is>
          <t>Transit 114°F Electrical Module Overheat Wire Ground Fire Risk</t>
        </is>
      </c>
      <c r="K12" s="14" t="inlineStr">
        <is>
          <t>Warm Prospect</t>
        </is>
      </c>
      <c r="L12" s="17">
        <f>IF(C12&gt;0, 99 + (C12 * 2.5), 0)</f>
        <v/>
      </c>
    </row>
    <row r="13">
      <c r="A13" s="8" t="inlineStr">
        <is>
          <t>Pioneer Overhead Door and Electric LLC</t>
        </is>
      </c>
      <c r="B13" s="9" t="inlineStr">
        <is>
          <t>Electrical Services</t>
        </is>
      </c>
      <c r="C13" s="10" t="n">
        <v>15</v>
      </c>
      <c r="D13" s="8" t="inlineStr">
        <is>
          <t>Chevy Express 2500</t>
        </is>
      </c>
      <c r="E13" s="8" t="inlineStr">
        <is>
          <t>Dave Pioneer</t>
        </is>
      </c>
      <c r="F13" s="8" t="inlineStr">
        <is>
          <t>dave@pioneerdoor.com</t>
        </is>
      </c>
      <c r="G13" s="8" t="inlineStr">
        <is>
          <t>702-555-0188</t>
        </is>
      </c>
      <c r="H13" s="9" t="inlineStr">
        <is>
          <t>DOT88192</t>
        </is>
      </c>
      <c r="I13" s="11" t="n">
        <v>0.082</v>
      </c>
      <c r="J13" s="8" t="inlineStr">
        <is>
          <t>Express Engine Bay Hose Thermal Crack Hazard</t>
        </is>
      </c>
      <c r="K13" s="9" t="inlineStr">
        <is>
          <t>Warm Prospect</t>
        </is>
      </c>
      <c r="L13" s="12">
        <f>IF(C13&gt;0, 99 + (C13 * 2.5), 0)</f>
        <v/>
      </c>
    </row>
    <row r="14">
      <c r="A14" s="13" t="inlineStr">
        <is>
          <t>Fast Response Plumbing &amp; Drain</t>
        </is>
      </c>
      <c r="B14" s="14" t="inlineStr">
        <is>
          <t>HVAC/Plumbing</t>
        </is>
      </c>
      <c r="C14" s="15" t="n">
        <v>24</v>
      </c>
      <c r="D14" s="13" t="inlineStr">
        <is>
          <t>GMC Savana 2500</t>
        </is>
      </c>
      <c r="E14" s="13" t="inlineStr">
        <is>
          <t>Sarah Fast</t>
        </is>
      </c>
      <c r="F14" s="13" t="inlineStr">
        <is>
          <t>sarah@fastplumbinglv.com</t>
        </is>
      </c>
      <c r="G14" s="13" t="inlineStr">
        <is>
          <t>702-555-0105</t>
        </is>
      </c>
      <c r="H14" s="14" t="inlineStr">
        <is>
          <t>DOT94821</t>
        </is>
      </c>
      <c r="I14" s="16" t="n">
        <v>0.213</v>
      </c>
      <c r="J14" s="13" t="inlineStr">
        <is>
          <t>Savana Desert Fuel Line Seal Degradation Failure</t>
        </is>
      </c>
      <c r="K14" s="14" t="inlineStr">
        <is>
          <t>Audit Run</t>
        </is>
      </c>
      <c r="L14" s="17">
        <f>IF(C14&gt;0, 99 + (C14 * 2.5), 0)</f>
        <v/>
      </c>
    </row>
    <row r="15">
      <c r="A15" s="8" t="inlineStr">
        <is>
          <t>Vegas Strip Sightseeing Tours</t>
        </is>
      </c>
      <c r="B15" s="9" t="inlineStr">
        <is>
          <t>Boutique Transit</t>
        </is>
      </c>
      <c r="C15" s="10" t="n">
        <v>45</v>
      </c>
      <c r="D15" s="8" t="inlineStr">
        <is>
          <t>Mercedes-Benz Sprinter 3500</t>
        </is>
      </c>
      <c r="E15" s="8" t="inlineStr">
        <is>
          <t>Alex Tour</t>
        </is>
      </c>
      <c r="F15" s="8" t="inlineStr">
        <is>
          <t>alex@vegastours.com</t>
        </is>
      </c>
      <c r="G15" s="8" t="inlineStr">
        <is>
          <t>702-555-0131</t>
        </is>
      </c>
      <c r="H15" s="9" t="inlineStr">
        <is>
          <t>DOT10482</t>
        </is>
      </c>
      <c r="I15" s="11" t="n">
        <v>0.294</v>
      </c>
      <c r="J15" s="8" t="inlineStr">
        <is>
          <t>Sprinter AC Comp Condensation Drain Backup Wiring Short</t>
        </is>
      </c>
      <c r="K15" s="9" t="inlineStr">
        <is>
          <t>Warm Prospect</t>
        </is>
      </c>
      <c r="L15" s="12">
        <f>IF(C15&gt;0, 99 + (C15 * 2.5), 0)</f>
        <v/>
      </c>
    </row>
    <row r="16">
      <c r="A16" s="13" t="inlineStr">
        <is>
          <t>Precision Electric Las Vegas</t>
        </is>
      </c>
      <c r="B16" s="14" t="inlineStr">
        <is>
          <t>Electrical Services</t>
        </is>
      </c>
      <c r="C16" s="15" t="n">
        <v>12</v>
      </c>
      <c r="D16" s="13" t="inlineStr">
        <is>
          <t>Ram ProMaster 2500</t>
        </is>
      </c>
      <c r="E16" s="13" t="inlineStr">
        <is>
          <t>Elena Precision</t>
        </is>
      </c>
      <c r="F16" s="13" t="inlineStr">
        <is>
          <t>elena@precisionlv.com</t>
        </is>
      </c>
      <c r="G16" s="13" t="inlineStr">
        <is>
          <t>702-555-0122</t>
        </is>
      </c>
      <c r="H16" s="14" t="inlineStr">
        <is>
          <t>DOT28401</t>
        </is>
      </c>
      <c r="I16" s="16" t="n">
        <v>0.111</v>
      </c>
      <c r="J16" s="13" t="inlineStr">
        <is>
          <t>ProMaster Brake Line Rubbing Collision Abrasion Leak</t>
        </is>
      </c>
      <c r="K16" s="14" t="inlineStr">
        <is>
          <t>Stripe Completed</t>
        </is>
      </c>
      <c r="L16" s="17">
        <f>IF(C16&gt;0, 99 + (C16 * 2.5), 0)</f>
        <v/>
      </c>
    </row>
    <row r="17">
      <c r="A17" s="8" t="inlineStr">
        <is>
          <t>Desert Breeze HVAC Specialists</t>
        </is>
      </c>
      <c r="B17" s="9" t="inlineStr">
        <is>
          <t>HVAC/Plumbing</t>
        </is>
      </c>
      <c r="C17" s="10" t="n">
        <v>55</v>
      </c>
      <c r="D17" s="8" t="inlineStr">
        <is>
          <t>Ford Transit 250</t>
        </is>
      </c>
      <c r="E17" s="8" t="inlineStr">
        <is>
          <t>Thomas Breeze</t>
        </is>
      </c>
      <c r="F17" s="8" t="inlineStr">
        <is>
          <t>thomas@desertbreezelv.com</t>
        </is>
      </c>
      <c r="G17" s="8" t="inlineStr">
        <is>
          <t>702-555-0177</t>
        </is>
      </c>
      <c r="H17" s="9" t="inlineStr">
        <is>
          <t>DOT77281</t>
        </is>
      </c>
      <c r="I17" s="11" t="n">
        <v>0.187</v>
      </c>
      <c r="J17" s="8" t="inlineStr">
        <is>
          <t>Transit 114°F Electrical Module Overheat Wire Ground Fire Risk</t>
        </is>
      </c>
      <c r="K17" s="9" t="inlineStr">
        <is>
          <t>Warm Prospect</t>
        </is>
      </c>
      <c r="L17" s="12">
        <f>IF(C17&gt;0, 99 + (C17 * 2.5), 0)</f>
        <v/>
      </c>
    </row>
    <row r="18">
      <c r="A18" s="13" t="inlineStr">
        <is>
          <t>Red Rock Plumbing &amp; HVAC</t>
        </is>
      </c>
      <c r="B18" s="14" t="inlineStr">
        <is>
          <t>HVAC/Plumbing</t>
        </is>
      </c>
      <c r="C18" s="15" t="n">
        <v>33</v>
      </c>
      <c r="D18" s="13" t="inlineStr">
        <is>
          <t>Ford Transit 150</t>
        </is>
      </c>
      <c r="E18" s="13" t="inlineStr">
        <is>
          <t>Kevin Red</t>
        </is>
      </c>
      <c r="F18" s="13" t="inlineStr">
        <is>
          <t>kevin@redrockplumbing.com</t>
        </is>
      </c>
      <c r="G18" s="13" t="inlineStr">
        <is>
          <t>702-555-0166</t>
        </is>
      </c>
      <c r="H18" s="14" t="inlineStr">
        <is>
          <t>DOT99382</t>
        </is>
      </c>
      <c r="I18" s="16" t="n">
        <v>0.228</v>
      </c>
      <c r="J18" s="13" t="inlineStr">
        <is>
          <t>Transit 114°F Electrical Module Overheat Wire Ground Fire Risk</t>
        </is>
      </c>
      <c r="K18" s="14" t="inlineStr">
        <is>
          <t>Audit Run</t>
        </is>
      </c>
      <c r="L18" s="17">
        <f>IF(C18&gt;0, 99 + (C18 * 2.5), 0)</f>
        <v/>
      </c>
    </row>
    <row r="19">
      <c r="A19" s="8" t="inlineStr">
        <is>
          <t>Sierra Electrical Contractors</t>
        </is>
      </c>
      <c r="B19" s="9" t="inlineStr">
        <is>
          <t>Electrical Services</t>
        </is>
      </c>
      <c r="C19" s="10" t="n">
        <v>20</v>
      </c>
      <c r="D19" s="8" t="inlineStr">
        <is>
          <t>Chevy Express 3500</t>
        </is>
      </c>
      <c r="E19" s="8" t="inlineStr">
        <is>
          <t>Linda Sierra</t>
        </is>
      </c>
      <c r="F19" s="8" t="inlineStr">
        <is>
          <t>linda@sierraelectric.com</t>
        </is>
      </c>
      <c r="G19" s="8" t="inlineStr">
        <is>
          <t>702-555-0155</t>
        </is>
      </c>
      <c r="H19" s="9" t="inlineStr">
        <is>
          <t>DOT66291</t>
        </is>
      </c>
      <c r="I19" s="11" t="n">
        <v>0.142</v>
      </c>
      <c r="J19" s="8" t="inlineStr">
        <is>
          <t>Express Engine Bay Hose Thermal Crack Hazard</t>
        </is>
      </c>
      <c r="K19" s="9" t="inlineStr">
        <is>
          <t>Warm Prospect</t>
        </is>
      </c>
      <c r="L19" s="12">
        <f>IF(C19&gt;0, 99 + (C19 * 2.5), 0)</f>
        <v/>
      </c>
    </row>
    <row r="20">
      <c r="A20" s="13" t="inlineStr">
        <is>
          <t>Sin City Courier &amp; Logistics</t>
        </is>
      </c>
      <c r="B20" s="14" t="inlineStr">
        <is>
          <t>Boutique Transit</t>
        </is>
      </c>
      <c r="C20" s="15" t="n">
        <v>62</v>
      </c>
      <c r="D20" s="13" t="inlineStr">
        <is>
          <t>Ram ProMaster 1500</t>
        </is>
      </c>
      <c r="E20" s="13" t="inlineStr">
        <is>
          <t>Ray Courier</t>
        </is>
      </c>
      <c r="F20" s="13" t="inlineStr">
        <is>
          <t>ray@sincitycouriers.com</t>
        </is>
      </c>
      <c r="G20" s="13" t="inlineStr">
        <is>
          <t>702-555-0111</t>
        </is>
      </c>
      <c r="H20" s="14" t="inlineStr">
        <is>
          <t>DOT44291</t>
        </is>
      </c>
      <c r="I20" s="16" t="n">
        <v>0.256</v>
      </c>
      <c r="J20" s="13" t="inlineStr">
        <is>
          <t>ProMaster Brake Line Rubbing Collision Abrasion Leak</t>
        </is>
      </c>
      <c r="K20" s="14" t="inlineStr">
        <is>
          <t>Warm Prospect</t>
        </is>
      </c>
      <c r="L20" s="17">
        <f>IF(C20&gt;0, 99 + (C20 * 2.5), 0)</f>
        <v/>
      </c>
    </row>
    <row r="21">
      <c r="A21" s="8" t="inlineStr">
        <is>
          <t>Apex Shuttles Group</t>
        </is>
      </c>
      <c r="B21" s="9" t="inlineStr">
        <is>
          <t>Boutique Transit</t>
        </is>
      </c>
      <c r="C21" s="10" t="n">
        <v>72</v>
      </c>
      <c r="D21" s="8" t="inlineStr">
        <is>
          <t>Mercedes-Benz Sprinter 3500</t>
        </is>
      </c>
      <c r="E21" s="8" t="inlineStr">
        <is>
          <t>Thomas Jones</t>
        </is>
      </c>
      <c r="F21" s="8" t="inlineStr">
        <is>
          <t>thomas@apexshuttlesgroup.com</t>
        </is>
      </c>
      <c r="G21" s="8" t="inlineStr">
        <is>
          <t>702-555-2679</t>
        </is>
      </c>
      <c r="H21" s="9" t="inlineStr">
        <is>
          <t>DOT98696</t>
        </is>
      </c>
      <c r="I21" s="11" t="n">
        <v>0.27</v>
      </c>
      <c r="J21" s="8" t="inlineStr">
        <is>
          <t>Sprinter AC Comp Condensation Drain Backup Wiring Short</t>
        </is>
      </c>
      <c r="K21" s="9" t="inlineStr">
        <is>
          <t>Audit Run</t>
        </is>
      </c>
      <c r="L21" s="12">
        <f>IF(C21&gt;0, 99 + (C21 * 2.5), 0)</f>
        <v/>
      </c>
    </row>
    <row r="22">
      <c r="A22" s="13" t="inlineStr">
        <is>
          <t>Las Vegas Comfort Heating Inc</t>
        </is>
      </c>
      <c r="B22" s="14" t="inlineStr">
        <is>
          <t>HVAC/Plumbing</t>
        </is>
      </c>
      <c r="C22" s="15" t="n">
        <v>33</v>
      </c>
      <c r="D22" s="13" t="inlineStr">
        <is>
          <t>Ford Transit 250</t>
        </is>
      </c>
      <c r="E22" s="13" t="inlineStr">
        <is>
          <t>Richard Davis</t>
        </is>
      </c>
      <c r="F22" s="13" t="inlineStr">
        <is>
          <t>richard@lasvegascomfortheatinginc.com</t>
        </is>
      </c>
      <c r="G22" s="13" t="inlineStr">
        <is>
          <t>702-555-9279</t>
        </is>
      </c>
      <c r="H22" s="14" t="inlineStr">
        <is>
          <t>DOT88907</t>
        </is>
      </c>
      <c r="I22" s="16" t="n">
        <v>0.048</v>
      </c>
      <c r="J22" s="13" t="inlineStr">
        <is>
          <t>Transit 114°F Electrical Module Overheat Wire Ground Fire Risk</t>
        </is>
      </c>
      <c r="K22" s="14" t="inlineStr">
        <is>
          <t>Warm Prospect</t>
        </is>
      </c>
      <c r="L22" s="17">
        <f>IF(C22&gt;0, 99 + (C22 * 2.5), 0)</f>
        <v/>
      </c>
    </row>
    <row r="23">
      <c r="A23" s="8" t="inlineStr">
        <is>
          <t>Vegas Valley Charter Buses Group</t>
        </is>
      </c>
      <c r="B23" s="9" t="inlineStr">
        <is>
          <t>Boutique Transit</t>
        </is>
      </c>
      <c r="C23" s="10" t="n">
        <v>66</v>
      </c>
      <c r="D23" s="8" t="inlineStr">
        <is>
          <t>Mercedes-Benz Sprinter 3500</t>
        </is>
      </c>
      <c r="E23" s="8" t="inlineStr">
        <is>
          <t>Donald Jackson</t>
        </is>
      </c>
      <c r="F23" s="8" t="inlineStr">
        <is>
          <t>donald@vegasvalleycharterbusesgroup.com</t>
        </is>
      </c>
      <c r="G23" s="8" t="inlineStr">
        <is>
          <t>702-555-5557</t>
        </is>
      </c>
      <c r="H23" s="9" t="inlineStr">
        <is>
          <t>DOT10851</t>
        </is>
      </c>
      <c r="I23" s="11" t="n">
        <v>0.275</v>
      </c>
      <c r="J23" s="8" t="inlineStr">
        <is>
          <t>Sprinter AC Comp Condensation Drain Backup Wiring Short</t>
        </is>
      </c>
      <c r="K23" s="9" t="inlineStr">
        <is>
          <t>Warm Prospect</t>
        </is>
      </c>
      <c r="L23" s="12">
        <f>IF(C23&gt;0, 99 + (C23 * 2.5), 0)</f>
        <v/>
      </c>
    </row>
    <row r="24">
      <c r="A24" s="13" t="inlineStr">
        <is>
          <t>Titan Chauffeurs LLC</t>
        </is>
      </c>
      <c r="B24" s="14" t="inlineStr">
        <is>
          <t>Boutique Transit</t>
        </is>
      </c>
      <c r="C24" s="15" t="n">
        <v>65</v>
      </c>
      <c r="D24" s="13" t="inlineStr">
        <is>
          <t>Mercedes-Benz Sprinter 2500</t>
        </is>
      </c>
      <c r="E24" s="13" t="inlineStr">
        <is>
          <t>Daniel Brown</t>
        </is>
      </c>
      <c r="F24" s="13" t="inlineStr">
        <is>
          <t>daniel@titanchauffeursllc.com</t>
        </is>
      </c>
      <c r="G24" s="13" t="inlineStr">
        <is>
          <t>702-555-2519</t>
        </is>
      </c>
      <c r="H24" s="14" t="inlineStr">
        <is>
          <t>DOT59797</t>
        </is>
      </c>
      <c r="I24" s="16" t="n">
        <v>0.07000000000000001</v>
      </c>
      <c r="J24" s="13" t="inlineStr">
        <is>
          <t>Sprinter AC Comp Condensation Drain Backup Wiring Short</t>
        </is>
      </c>
      <c r="K24" s="14" t="inlineStr">
        <is>
          <t>Warm Prospect</t>
        </is>
      </c>
      <c r="L24" s="17">
        <f>IF(C24&gt;0, 99 + (C24 * 2.5), 0)</f>
        <v/>
      </c>
    </row>
    <row r="25">
      <c r="A25" s="8" t="inlineStr">
        <is>
          <t>Mojave Shuttles Group</t>
        </is>
      </c>
      <c r="B25" s="9" t="inlineStr">
        <is>
          <t>Boutique Transit</t>
        </is>
      </c>
      <c r="C25" s="10" t="n">
        <v>147</v>
      </c>
      <c r="D25" s="8" t="inlineStr">
        <is>
          <t>Mercedes-Benz Sprinter 3500</t>
        </is>
      </c>
      <c r="E25" s="8" t="inlineStr">
        <is>
          <t>Robert Gonzalez</t>
        </is>
      </c>
      <c r="F25" s="8" t="inlineStr">
        <is>
          <t>robert@mojaveshuttlesgroup.com</t>
        </is>
      </c>
      <c r="G25" s="8" t="inlineStr">
        <is>
          <t>702-555-2291</t>
        </is>
      </c>
      <c r="H25" s="9" t="inlineStr">
        <is>
          <t>DOT82357</t>
        </is>
      </c>
      <c r="I25" s="11" t="n">
        <v>0.131</v>
      </c>
      <c r="J25" s="8" t="inlineStr">
        <is>
          <t>Sprinter AC Comp Condensation Drain Backup Wiring Short</t>
        </is>
      </c>
      <c r="K25" s="9" t="inlineStr">
        <is>
          <t>Audit Run</t>
        </is>
      </c>
      <c r="L25" s="12">
        <f>IF(C25&gt;0, 99 + (C25 * 2.5), 0)</f>
        <v/>
      </c>
    </row>
    <row r="26">
      <c r="A26" s="13" t="inlineStr">
        <is>
          <t>Las Vegas Power Systems Group</t>
        </is>
      </c>
      <c r="B26" s="14" t="inlineStr">
        <is>
          <t>Electrical Services</t>
        </is>
      </c>
      <c r="C26" s="15" t="n">
        <v>21</v>
      </c>
      <c r="D26" s="13" t="inlineStr">
        <is>
          <t>Chevy Express 2500</t>
        </is>
      </c>
      <c r="E26" s="13" t="inlineStr">
        <is>
          <t>Thomas Martinez</t>
        </is>
      </c>
      <c r="F26" s="13" t="inlineStr">
        <is>
          <t>thomas@lasvegaspowersystemsgroup.com</t>
        </is>
      </c>
      <c r="G26" s="13" t="inlineStr">
        <is>
          <t>702-555-2307</t>
        </is>
      </c>
      <c r="H26" s="14" t="inlineStr">
        <is>
          <t>DOT40512</t>
        </is>
      </c>
      <c r="I26" s="16" t="n">
        <v>0.309</v>
      </c>
      <c r="J26" s="13" t="inlineStr">
        <is>
          <t>Express Engine Bay Hose Thermal Crack Hazard</t>
        </is>
      </c>
      <c r="K26" s="14" t="inlineStr">
        <is>
          <t>Warm Prospect</t>
        </is>
      </c>
      <c r="L26" s="17">
        <f>IF(C26&gt;0, 99 + (C26 * 2.5), 0)</f>
        <v/>
      </c>
    </row>
    <row r="27">
      <c r="A27" s="8" t="inlineStr">
        <is>
          <t>First Choice Electric Pros LLC</t>
        </is>
      </c>
      <c r="B27" s="9" t="inlineStr">
        <is>
          <t>Electrical Services</t>
        </is>
      </c>
      <c r="C27" s="10" t="n">
        <v>104</v>
      </c>
      <c r="D27" s="8" t="inlineStr">
        <is>
          <t>Chevy Express 3500</t>
        </is>
      </c>
      <c r="E27" s="8" t="inlineStr">
        <is>
          <t>Matthew Miller</t>
        </is>
      </c>
      <c r="F27" s="8" t="inlineStr">
        <is>
          <t>matthew@firstchoiceelectricprosllc.com</t>
        </is>
      </c>
      <c r="G27" s="8" t="inlineStr">
        <is>
          <t>702-555-5374</t>
        </is>
      </c>
      <c r="H27" s="9" t="inlineStr">
        <is>
          <t>DOT99593</t>
        </is>
      </c>
      <c r="I27" s="11" t="n">
        <v>0.241</v>
      </c>
      <c r="J27" s="8" t="inlineStr">
        <is>
          <t>Express Engine Bay Hose Thermal Crack Hazard</t>
        </is>
      </c>
      <c r="K27" s="9" t="inlineStr">
        <is>
          <t>Audit Run</t>
        </is>
      </c>
      <c r="L27" s="12">
        <f>IF(C27&gt;0, 99 + (C27 * 2.5), 0)</f>
        <v/>
      </c>
    </row>
    <row r="28">
      <c r="A28" s="13" t="inlineStr">
        <is>
          <t>Red Rock Logistics Group</t>
        </is>
      </c>
      <c r="B28" s="14" t="inlineStr">
        <is>
          <t>Boutique Transit</t>
        </is>
      </c>
      <c r="C28" s="15" t="n">
        <v>51</v>
      </c>
      <c r="D28" s="13" t="inlineStr">
        <is>
          <t>Mercedes-Benz Sprinter 2500</t>
        </is>
      </c>
      <c r="E28" s="13" t="inlineStr">
        <is>
          <t>Donald Gonzalez</t>
        </is>
      </c>
      <c r="F28" s="13" t="inlineStr">
        <is>
          <t>donald@redrocklogisticsgroup.com</t>
        </is>
      </c>
      <c r="G28" s="13" t="inlineStr">
        <is>
          <t>702-555-5422</t>
        </is>
      </c>
      <c r="H28" s="14" t="inlineStr">
        <is>
          <t>DOT93886</t>
        </is>
      </c>
      <c r="I28" s="16" t="n">
        <v>0.253</v>
      </c>
      <c r="J28" s="13" t="inlineStr">
        <is>
          <t>Sprinter AC Comp Condensation Drain Backup Wiring Short</t>
        </is>
      </c>
      <c r="K28" s="14" t="inlineStr">
        <is>
          <t>Warm Prospect</t>
        </is>
      </c>
      <c r="L28" s="17">
        <f>IF(C28&gt;0, 99 + (C28 * 2.5), 0)</f>
        <v/>
      </c>
    </row>
    <row r="29">
      <c r="A29" s="8" t="inlineStr">
        <is>
          <t>Valley Shuttles Inc</t>
        </is>
      </c>
      <c r="B29" s="9" t="inlineStr">
        <is>
          <t>Boutique Transit</t>
        </is>
      </c>
      <c r="C29" s="10" t="n">
        <v>90</v>
      </c>
      <c r="D29" s="8" t="inlineStr">
        <is>
          <t>Mercedes-Benz Sprinter 2500</t>
        </is>
      </c>
      <c r="E29" s="8" t="inlineStr">
        <is>
          <t>Anthony Rodriguez</t>
        </is>
      </c>
      <c r="F29" s="8" t="inlineStr">
        <is>
          <t>anthony@valleyshuttlesinc.com</t>
        </is>
      </c>
      <c r="G29" s="8" t="inlineStr">
        <is>
          <t>702-555-2084</t>
        </is>
      </c>
      <c r="H29" s="9" t="inlineStr">
        <is>
          <t>DOT37653</t>
        </is>
      </c>
      <c r="I29" s="11" t="n">
        <v>0.323</v>
      </c>
      <c r="J29" s="8" t="inlineStr">
        <is>
          <t>Sprinter AC Comp Condensation Drain Backup Wiring Short</t>
        </is>
      </c>
      <c r="K29" s="9" t="inlineStr">
        <is>
          <t>Audit Run</t>
        </is>
      </c>
      <c r="L29" s="12">
        <f>IF(C29&gt;0, 99 + (C29 * 2.5), 0)</f>
        <v/>
      </c>
    </row>
    <row r="30">
      <c r="A30" s="13" t="inlineStr">
        <is>
          <t>Valley Airport Express Group</t>
        </is>
      </c>
      <c r="B30" s="14" t="inlineStr">
        <is>
          <t>Boutique Transit</t>
        </is>
      </c>
      <c r="C30" s="15" t="n">
        <v>111</v>
      </c>
      <c r="D30" s="13" t="inlineStr">
        <is>
          <t>Mercedes-Benz Sprinter 3500</t>
        </is>
      </c>
      <c r="E30" s="13" t="inlineStr">
        <is>
          <t>Donald Jones</t>
        </is>
      </c>
      <c r="F30" s="13" t="inlineStr">
        <is>
          <t>donald@valleyairportexpressgroup.com</t>
        </is>
      </c>
      <c r="G30" s="13" t="inlineStr">
        <is>
          <t>702-555-5339</t>
        </is>
      </c>
      <c r="H30" s="14" t="inlineStr">
        <is>
          <t>DOT28301</t>
        </is>
      </c>
      <c r="I30" s="16" t="n">
        <v>0.116</v>
      </c>
      <c r="J30" s="13" t="inlineStr">
        <is>
          <t>Sprinter AC Comp Condensation Drain Backup Wiring Short</t>
        </is>
      </c>
      <c r="K30" s="14" t="inlineStr">
        <is>
          <t>Audit Run</t>
        </is>
      </c>
      <c r="L30" s="17">
        <f>IF(C30&gt;0, 99 + (C30 * 2.5), 0)</f>
        <v/>
      </c>
    </row>
    <row r="31">
      <c r="A31" s="8" t="inlineStr">
        <is>
          <t>Mojave Charter Buses Group</t>
        </is>
      </c>
      <c r="B31" s="9" t="inlineStr">
        <is>
          <t>Boutique Transit</t>
        </is>
      </c>
      <c r="C31" s="10" t="n">
        <v>112</v>
      </c>
      <c r="D31" s="8" t="inlineStr">
        <is>
          <t>Mercedes-Benz Sprinter 3500</t>
        </is>
      </c>
      <c r="E31" s="8" t="inlineStr">
        <is>
          <t>Matthew Davis</t>
        </is>
      </c>
      <c r="F31" s="8" t="inlineStr">
        <is>
          <t>matthew@mojavecharterbusesgroup.com</t>
        </is>
      </c>
      <c r="G31" s="8" t="inlineStr">
        <is>
          <t>702-555-3266</t>
        </is>
      </c>
      <c r="H31" s="9" t="inlineStr">
        <is>
          <t>DOT76784</t>
        </is>
      </c>
      <c r="I31" s="11" t="n">
        <v>0.193</v>
      </c>
      <c r="J31" s="8" t="inlineStr">
        <is>
          <t>Sprinter AC Comp Condensation Drain Backup Wiring Short</t>
        </is>
      </c>
      <c r="K31" s="9" t="inlineStr">
        <is>
          <t>Warm Prospect</t>
        </is>
      </c>
      <c r="L31" s="12">
        <f>IF(C31&gt;0, 99 + (C31 * 2.5), 0)</f>
        <v/>
      </c>
    </row>
    <row r="32">
      <c r="A32" s="13" t="inlineStr">
        <is>
          <t>Red Rock Mechanical Services Inc</t>
        </is>
      </c>
      <c r="B32" s="14" t="inlineStr">
        <is>
          <t>HVAC/Plumbing</t>
        </is>
      </c>
      <c r="C32" s="15" t="n">
        <v>26</v>
      </c>
      <c r="D32" s="13" t="inlineStr">
        <is>
          <t>GMC Savana 2500</t>
        </is>
      </c>
      <c r="E32" s="13" t="inlineStr">
        <is>
          <t>Anthony Gonzalez</t>
        </is>
      </c>
      <c r="F32" s="13" t="inlineStr">
        <is>
          <t>anthony@redrockmechanicalservicesinc.com</t>
        </is>
      </c>
      <c r="G32" s="13" t="inlineStr">
        <is>
          <t>702-555-8668</t>
        </is>
      </c>
      <c r="H32" s="14" t="inlineStr">
        <is>
          <t>DOT79352</t>
        </is>
      </c>
      <c r="I32" s="16" t="n">
        <v>0.118</v>
      </c>
      <c r="J32" s="13" t="inlineStr">
        <is>
          <t>Savana Desert Fuel Line Seal Degradation Failure</t>
        </is>
      </c>
      <c r="K32" s="14" t="inlineStr">
        <is>
          <t>Audit Run</t>
        </is>
      </c>
      <c r="L32" s="17">
        <f>IF(C32&gt;0, 99 + (C32 * 2.5), 0)</f>
        <v/>
      </c>
    </row>
    <row r="33">
      <c r="A33" s="8" t="inlineStr">
        <is>
          <t>Vegas Valley Mechanical Services Inc</t>
        </is>
      </c>
      <c r="B33" s="9" t="inlineStr">
        <is>
          <t>HVAC/Plumbing</t>
        </is>
      </c>
      <c r="C33" s="10" t="n">
        <v>78</v>
      </c>
      <c r="D33" s="8" t="inlineStr">
        <is>
          <t>Chevy Express 2500</t>
        </is>
      </c>
      <c r="E33" s="8" t="inlineStr">
        <is>
          <t>Daniel Brown</t>
        </is>
      </c>
      <c r="F33" s="8" t="inlineStr">
        <is>
          <t>daniel@vegasvalleymechanicalservicesinc.com</t>
        </is>
      </c>
      <c r="G33" s="8" t="inlineStr">
        <is>
          <t>702-555-5808</t>
        </is>
      </c>
      <c r="H33" s="9" t="inlineStr">
        <is>
          <t>DOT66985</t>
        </is>
      </c>
      <c r="I33" s="11" t="n">
        <v>0.089</v>
      </c>
      <c r="J33" s="8" t="inlineStr">
        <is>
          <t>Express Engine Bay Hose Thermal Crack Hazard</t>
        </is>
      </c>
      <c r="K33" s="9" t="inlineStr">
        <is>
          <t>Warm Prospect</t>
        </is>
      </c>
      <c r="L33" s="12">
        <f>IF(C33&gt;0, 99 + (C33 * 2.5), 0)</f>
        <v/>
      </c>
    </row>
    <row r="34">
      <c r="A34" s="13" t="inlineStr">
        <is>
          <t>Spring Valley Charter Buses LLC</t>
        </is>
      </c>
      <c r="B34" s="14" t="inlineStr">
        <is>
          <t>Boutique Transit</t>
        </is>
      </c>
      <c r="C34" s="15" t="n">
        <v>55</v>
      </c>
      <c r="D34" s="13" t="inlineStr">
        <is>
          <t>Ford Transit 350</t>
        </is>
      </c>
      <c r="E34" s="13" t="inlineStr">
        <is>
          <t>Paul Brown</t>
        </is>
      </c>
      <c r="F34" s="13" t="inlineStr">
        <is>
          <t>paul@springvalleycharterbusesllc.com</t>
        </is>
      </c>
      <c r="G34" s="13" t="inlineStr">
        <is>
          <t>702-555-5889</t>
        </is>
      </c>
      <c r="H34" s="14" t="inlineStr">
        <is>
          <t>DOT93748</t>
        </is>
      </c>
      <c r="I34" s="16" t="n">
        <v>0.197</v>
      </c>
      <c r="J34" s="13" t="inlineStr">
        <is>
          <t>Transit 114°F Electrical Module Overheat Wire Ground Fire Risk</t>
        </is>
      </c>
      <c r="K34" s="14" t="inlineStr">
        <is>
          <t>Warm Prospect</t>
        </is>
      </c>
      <c r="L34" s="17">
        <f>IF(C34&gt;0, 99 + (C34 * 2.5), 0)</f>
        <v/>
      </c>
    </row>
    <row r="35">
      <c r="A35" s="8" t="inlineStr">
        <is>
          <t>Valley Plumbing &amp; Drain Group</t>
        </is>
      </c>
      <c r="B35" s="9" t="inlineStr">
        <is>
          <t>HVAC/Plumbing</t>
        </is>
      </c>
      <c r="C35" s="10" t="n">
        <v>10</v>
      </c>
      <c r="D35" s="8" t="inlineStr">
        <is>
          <t>Chevy Express 2500</t>
        </is>
      </c>
      <c r="E35" s="8" t="inlineStr">
        <is>
          <t>Kenneth Hernandez</t>
        </is>
      </c>
      <c r="F35" s="8" t="inlineStr">
        <is>
          <t>kenneth@valleyplumbingdraingroup.com</t>
        </is>
      </c>
      <c r="G35" s="8" t="inlineStr">
        <is>
          <t>702-555-9005</t>
        </is>
      </c>
      <c r="H35" s="9" t="inlineStr">
        <is>
          <t>DOT12552</t>
        </is>
      </c>
      <c r="I35" s="11" t="n">
        <v>0.075</v>
      </c>
      <c r="J35" s="8" t="inlineStr">
        <is>
          <t>Express Engine Bay Hose Thermal Crack Hazard</t>
        </is>
      </c>
      <c r="K35" s="9" t="inlineStr">
        <is>
          <t>Warm Prospect</t>
        </is>
      </c>
      <c r="L35" s="12">
        <f>IF(C35&gt;0, 99 + (C35 * 2.5), 0)</f>
        <v/>
      </c>
    </row>
    <row r="36">
      <c r="A36" s="13" t="inlineStr">
        <is>
          <t>Sunset Electric &amp; Solar Inc</t>
        </is>
      </c>
      <c r="B36" s="14" t="inlineStr">
        <is>
          <t>Electrical Services</t>
        </is>
      </c>
      <c r="C36" s="15" t="n">
        <v>31</v>
      </c>
      <c r="D36" s="13" t="inlineStr">
        <is>
          <t>Chevy Express 2500</t>
        </is>
      </c>
      <c r="E36" s="13" t="inlineStr">
        <is>
          <t>Steven Williams</t>
        </is>
      </c>
      <c r="F36" s="13" t="inlineStr">
        <is>
          <t>steven@sunsetelectricsolarinc.com</t>
        </is>
      </c>
      <c r="G36" s="13" t="inlineStr">
        <is>
          <t>702-555-9727</t>
        </is>
      </c>
      <c r="H36" s="14" t="inlineStr">
        <is>
          <t>DOT26483</t>
        </is>
      </c>
      <c r="I36" s="16" t="n">
        <v>0.08</v>
      </c>
      <c r="J36" s="13" t="inlineStr">
        <is>
          <t>Express Engine Bay Hose Thermal Crack Hazard</t>
        </is>
      </c>
      <c r="K36" s="14" t="inlineStr">
        <is>
          <t>Warm Prospect</t>
        </is>
      </c>
      <c r="L36" s="17">
        <f>IF(C36&gt;0, 99 + (C36 * 2.5), 0)</f>
        <v/>
      </c>
    </row>
    <row r="37">
      <c r="A37" s="8" t="inlineStr">
        <is>
          <t>Red Rock Chauffeurs Group</t>
        </is>
      </c>
      <c r="B37" s="9" t="inlineStr">
        <is>
          <t>Boutique Transit</t>
        </is>
      </c>
      <c r="C37" s="10" t="n">
        <v>118</v>
      </c>
      <c r="D37" s="8" t="inlineStr">
        <is>
          <t>Ford Transit 350</t>
        </is>
      </c>
      <c r="E37" s="8" t="inlineStr">
        <is>
          <t>Richard Moore</t>
        </is>
      </c>
      <c r="F37" s="8" t="inlineStr">
        <is>
          <t>richard@redrockchauffeursgroup.com</t>
        </is>
      </c>
      <c r="G37" s="8" t="inlineStr">
        <is>
          <t>702-555-4295</t>
        </is>
      </c>
      <c r="H37" s="9" t="inlineStr">
        <is>
          <t>DOT50857</t>
        </is>
      </c>
      <c r="I37" s="11" t="n">
        <v>0.164</v>
      </c>
      <c r="J37" s="8" t="inlineStr">
        <is>
          <t>Transit 114°F Electrical Module Overheat Wire Ground Fire Risk</t>
        </is>
      </c>
      <c r="K37" s="9" t="inlineStr">
        <is>
          <t>Warm Prospect</t>
        </is>
      </c>
      <c r="L37" s="12">
        <f>IF(C37&gt;0, 99 + (C37 * 2.5), 0)</f>
        <v/>
      </c>
    </row>
    <row r="38">
      <c r="A38" s="13" t="inlineStr">
        <is>
          <t>Spring Valley Lighting &amp; Power LLC</t>
        </is>
      </c>
      <c r="B38" s="14" t="inlineStr">
        <is>
          <t>Electrical Services</t>
        </is>
      </c>
      <c r="C38" s="15" t="n">
        <v>73</v>
      </c>
      <c r="D38" s="13" t="inlineStr">
        <is>
          <t>Chevy Express 2500</t>
        </is>
      </c>
      <c r="E38" s="13" t="inlineStr">
        <is>
          <t>Thomas Williams</t>
        </is>
      </c>
      <c r="F38" s="13" t="inlineStr">
        <is>
          <t>thomas@springvalleylightingpowerllc.com</t>
        </is>
      </c>
      <c r="G38" s="13" t="inlineStr">
        <is>
          <t>702-555-6539</t>
        </is>
      </c>
      <c r="H38" s="14" t="inlineStr">
        <is>
          <t>DOT12757</t>
        </is>
      </c>
      <c r="I38" s="16" t="n">
        <v>0.222</v>
      </c>
      <c r="J38" s="13" t="inlineStr">
        <is>
          <t>Express Engine Bay Hose Thermal Crack Hazard</t>
        </is>
      </c>
      <c r="K38" s="14" t="inlineStr">
        <is>
          <t>Warm Prospect</t>
        </is>
      </c>
      <c r="L38" s="17">
        <f>IF(C38&gt;0, 99 + (C38 * 2.5), 0)</f>
        <v/>
      </c>
    </row>
    <row r="39">
      <c r="A39" s="8" t="inlineStr">
        <is>
          <t>Sunset Shuttles Inc</t>
        </is>
      </c>
      <c r="B39" s="9" t="inlineStr">
        <is>
          <t>Boutique Transit</t>
        </is>
      </c>
      <c r="C39" s="10" t="n">
        <v>25</v>
      </c>
      <c r="D39" s="8" t="inlineStr">
        <is>
          <t>Ford Transit 350</t>
        </is>
      </c>
      <c r="E39" s="8" t="inlineStr">
        <is>
          <t>Thomas Williams</t>
        </is>
      </c>
      <c r="F39" s="8" t="inlineStr">
        <is>
          <t>thomas@sunsetshuttlesinc.com</t>
        </is>
      </c>
      <c r="G39" s="8" t="inlineStr">
        <is>
          <t>702-555-1514</t>
        </is>
      </c>
      <c r="H39" s="9" t="inlineStr">
        <is>
          <t>DOT53309</t>
        </is>
      </c>
      <c r="I39" s="11" t="n">
        <v>0.062</v>
      </c>
      <c r="J39" s="8" t="inlineStr">
        <is>
          <t>Transit 114°F Electrical Module Overheat Wire Ground Fire Risk</t>
        </is>
      </c>
      <c r="K39" s="9" t="inlineStr">
        <is>
          <t>Warm Prospect</t>
        </is>
      </c>
      <c r="L39" s="12">
        <f>IF(C39&gt;0, 99 + (C39 * 2.5), 0)</f>
        <v/>
      </c>
    </row>
    <row r="40">
      <c r="A40" s="13" t="inlineStr">
        <is>
          <t>Vegas Valley Wiring Solutions Inc</t>
        </is>
      </c>
      <c r="B40" s="14" t="inlineStr">
        <is>
          <t>Electrical Services</t>
        </is>
      </c>
      <c r="C40" s="15" t="n">
        <v>131</v>
      </c>
      <c r="D40" s="13" t="inlineStr">
        <is>
          <t>Chevy Express 3500</t>
        </is>
      </c>
      <c r="E40" s="13" t="inlineStr">
        <is>
          <t>Thomas Thomas</t>
        </is>
      </c>
      <c r="F40" s="13" t="inlineStr">
        <is>
          <t>thomas@vegasvalleywiringsolutionsinc.com</t>
        </is>
      </c>
      <c r="G40" s="13" t="inlineStr">
        <is>
          <t>702-555-7669</t>
        </is>
      </c>
      <c r="H40" s="14" t="inlineStr">
        <is>
          <t>DOT34957</t>
        </is>
      </c>
      <c r="I40" s="16" t="n">
        <v>0.06900000000000001</v>
      </c>
      <c r="J40" s="13" t="inlineStr">
        <is>
          <t>Express Engine Bay Hose Thermal Crack Hazard</t>
        </is>
      </c>
      <c r="K40" s="14" t="inlineStr">
        <is>
          <t>Warm Prospect</t>
        </is>
      </c>
      <c r="L40" s="17">
        <f>IF(C40&gt;0, 99 + (C40 * 2.5), 0)</f>
        <v/>
      </c>
    </row>
    <row r="41">
      <c r="A41" s="8" t="inlineStr">
        <is>
          <t>Titan Wiring Solutions LLC</t>
        </is>
      </c>
      <c r="B41" s="9" t="inlineStr">
        <is>
          <t>Electrical Services</t>
        </is>
      </c>
      <c r="C41" s="10" t="n">
        <v>35</v>
      </c>
      <c r="D41" s="8" t="inlineStr">
        <is>
          <t>Chevy Express 2500</t>
        </is>
      </c>
      <c r="E41" s="8" t="inlineStr">
        <is>
          <t>Michael Gonzalez</t>
        </is>
      </c>
      <c r="F41" s="8" t="inlineStr">
        <is>
          <t>michael@titanwiringsolutionsllc.com</t>
        </is>
      </c>
      <c r="G41" s="8" t="inlineStr">
        <is>
          <t>702-555-6559</t>
        </is>
      </c>
      <c r="H41" s="9" t="inlineStr">
        <is>
          <t>DOT24322</t>
        </is>
      </c>
      <c r="I41" s="11" t="n">
        <v>0.117</v>
      </c>
      <c r="J41" s="8" t="inlineStr">
        <is>
          <t>Express Engine Bay Hose Thermal Crack Hazard</t>
        </is>
      </c>
      <c r="K41" s="9" t="inlineStr">
        <is>
          <t>Warm Prospect</t>
        </is>
      </c>
      <c r="L41" s="12">
        <f>IF(C41&gt;0, 99 + (C41 * 2.5), 0)</f>
        <v/>
      </c>
    </row>
    <row r="42">
      <c r="A42" s="13" t="inlineStr">
        <is>
          <t>First Choice Airport Express LLC</t>
        </is>
      </c>
      <c r="B42" s="14" t="inlineStr">
        <is>
          <t>Boutique Transit</t>
        </is>
      </c>
      <c r="C42" s="15" t="n">
        <v>81</v>
      </c>
      <c r="D42" s="13" t="inlineStr">
        <is>
          <t>Mercedes-Benz Sprinter 2500</t>
        </is>
      </c>
      <c r="E42" s="13" t="inlineStr">
        <is>
          <t>Donald Davis</t>
        </is>
      </c>
      <c r="F42" s="13" t="inlineStr">
        <is>
          <t>donald@firstchoiceairportexpressllc.com</t>
        </is>
      </c>
      <c r="G42" s="13" t="inlineStr">
        <is>
          <t>702-555-2235</t>
        </is>
      </c>
      <c r="H42" s="14" t="inlineStr">
        <is>
          <t>DOT68082</t>
        </is>
      </c>
      <c r="I42" s="16" t="n">
        <v>0.29</v>
      </c>
      <c r="J42" s="13" t="inlineStr">
        <is>
          <t>Sprinter AC Comp Condensation Drain Backup Wiring Short</t>
        </is>
      </c>
      <c r="K42" s="14" t="inlineStr">
        <is>
          <t>Audit Run</t>
        </is>
      </c>
      <c r="L42" s="17">
        <f>IF(C42&gt;0, 99 + (C42 * 2.5), 0)</f>
        <v/>
      </c>
    </row>
    <row r="43">
      <c r="A43" s="8" t="inlineStr">
        <is>
          <t>Silver State Mechanical Services Group</t>
        </is>
      </c>
      <c r="B43" s="9" t="inlineStr">
        <is>
          <t>HVAC/Plumbing</t>
        </is>
      </c>
      <c r="C43" s="10" t="n">
        <v>33</v>
      </c>
      <c r="D43" s="8" t="inlineStr">
        <is>
          <t>Ford Transit 250</t>
        </is>
      </c>
      <c r="E43" s="8" t="inlineStr">
        <is>
          <t>Thomas Garcia</t>
        </is>
      </c>
      <c r="F43" s="8" t="inlineStr">
        <is>
          <t>thomas@silverstatemechanicalservicesgroup.com</t>
        </is>
      </c>
      <c r="G43" s="8" t="inlineStr">
        <is>
          <t>702-555-7658</t>
        </is>
      </c>
      <c r="H43" s="9" t="inlineStr">
        <is>
          <t>DOT73653</t>
        </is>
      </c>
      <c r="I43" s="11" t="n">
        <v>0.189</v>
      </c>
      <c r="J43" s="8" t="inlineStr">
        <is>
          <t>Transit 114°F Electrical Module Overheat Wire Ground Fire Risk</t>
        </is>
      </c>
      <c r="K43" s="9" t="inlineStr">
        <is>
          <t>Warm Prospect</t>
        </is>
      </c>
      <c r="L43" s="12">
        <f>IF(C43&gt;0, 99 + (C43 * 2.5), 0)</f>
        <v/>
      </c>
    </row>
    <row r="44">
      <c r="A44" s="13" t="inlineStr">
        <is>
          <t>Red Rock Comfort Heating Inc</t>
        </is>
      </c>
      <c r="B44" s="14" t="inlineStr">
        <is>
          <t>HVAC/Plumbing</t>
        </is>
      </c>
      <c r="C44" s="15" t="n">
        <v>77</v>
      </c>
      <c r="D44" s="13" t="inlineStr">
        <is>
          <t>GMC Savana 2500</t>
        </is>
      </c>
      <c r="E44" s="13" t="inlineStr">
        <is>
          <t>Donald Martinez</t>
        </is>
      </c>
      <c r="F44" s="13" t="inlineStr">
        <is>
          <t>donald@redrockcomfortheatinginc.com</t>
        </is>
      </c>
      <c r="G44" s="13" t="inlineStr">
        <is>
          <t>702-555-7930</t>
        </is>
      </c>
      <c r="H44" s="14" t="inlineStr">
        <is>
          <t>DOT82845</t>
        </is>
      </c>
      <c r="I44" s="16" t="n">
        <v>0.245</v>
      </c>
      <c r="J44" s="13" t="inlineStr">
        <is>
          <t>Savana Desert Fuel Line Seal Degradation Failure</t>
        </is>
      </c>
      <c r="K44" s="14" t="inlineStr">
        <is>
          <t>Warm Prospect</t>
        </is>
      </c>
      <c r="L44" s="17">
        <f>IF(C44&gt;0, 99 + (C44 * 2.5), 0)</f>
        <v/>
      </c>
    </row>
    <row r="45">
      <c r="A45" s="8" t="inlineStr">
        <is>
          <t>Sunset HVAC Services Inc</t>
        </is>
      </c>
      <c r="B45" s="9" t="inlineStr">
        <is>
          <t>HVAC/Plumbing</t>
        </is>
      </c>
      <c r="C45" s="10" t="n">
        <v>148</v>
      </c>
      <c r="D45" s="8" t="inlineStr">
        <is>
          <t>Ford Transit 250</t>
        </is>
      </c>
      <c r="E45" s="8" t="inlineStr">
        <is>
          <t>Michael Hernandez</t>
        </is>
      </c>
      <c r="F45" s="8" t="inlineStr">
        <is>
          <t>michael@sunsethvacservicesinc.com</t>
        </is>
      </c>
      <c r="G45" s="8" t="inlineStr">
        <is>
          <t>702-555-1936</t>
        </is>
      </c>
      <c r="H45" s="9" t="inlineStr">
        <is>
          <t>DOT16572</t>
        </is>
      </c>
      <c r="I45" s="11" t="n">
        <v>0.221</v>
      </c>
      <c r="J45" s="8" t="inlineStr">
        <is>
          <t>Transit 114°F Electrical Module Overheat Wire Ground Fire Risk</t>
        </is>
      </c>
      <c r="K45" s="9" t="inlineStr">
        <is>
          <t>Audit Run</t>
        </is>
      </c>
      <c r="L45" s="12">
        <f>IF(C45&gt;0, 99 + (C45 * 2.5), 0)</f>
        <v/>
      </c>
    </row>
    <row r="46">
      <c r="A46" s="13" t="inlineStr">
        <is>
          <t>Red Rock Shuttles Group</t>
        </is>
      </c>
      <c r="B46" s="14" t="inlineStr">
        <is>
          <t>Boutique Transit</t>
        </is>
      </c>
      <c r="C46" s="15" t="n">
        <v>57</v>
      </c>
      <c r="D46" s="13" t="inlineStr">
        <is>
          <t>Mercedes-Benz Sprinter 2500</t>
        </is>
      </c>
      <c r="E46" s="13" t="inlineStr">
        <is>
          <t>James Martin</t>
        </is>
      </c>
      <c r="F46" s="13" t="inlineStr">
        <is>
          <t>james@redrockshuttlesgroup.com</t>
        </is>
      </c>
      <c r="G46" s="13" t="inlineStr">
        <is>
          <t>702-555-2113</t>
        </is>
      </c>
      <c r="H46" s="14" t="inlineStr">
        <is>
          <t>DOT98501</t>
        </is>
      </c>
      <c r="I46" s="16" t="n">
        <v>0.307</v>
      </c>
      <c r="J46" s="13" t="inlineStr">
        <is>
          <t>Sprinter AC Comp Condensation Drain Backup Wiring Short</t>
        </is>
      </c>
      <c r="K46" s="14" t="inlineStr">
        <is>
          <t>Warm Prospect</t>
        </is>
      </c>
      <c r="L46" s="17">
        <f>IF(C46&gt;0, 99 + (C46 * 2.5), 0)</f>
        <v/>
      </c>
    </row>
    <row r="47">
      <c r="A47" s="8" t="inlineStr">
        <is>
          <t>Spring Valley Plumbing Experts Inc</t>
        </is>
      </c>
      <c r="B47" s="9" t="inlineStr">
        <is>
          <t>HVAC/Plumbing</t>
        </is>
      </c>
      <c r="C47" s="10" t="n">
        <v>20</v>
      </c>
      <c r="D47" s="8" t="inlineStr">
        <is>
          <t>Chevy Express 2500</t>
        </is>
      </c>
      <c r="E47" s="8" t="inlineStr">
        <is>
          <t>Kenneth Williams</t>
        </is>
      </c>
      <c r="F47" s="8" t="inlineStr">
        <is>
          <t>kenneth@springvalleyplumbingexpertsinc.com</t>
        </is>
      </c>
      <c r="G47" s="8" t="inlineStr">
        <is>
          <t>702-555-7868</t>
        </is>
      </c>
      <c r="H47" s="9" t="inlineStr">
        <is>
          <t>DOT96163</t>
        </is>
      </c>
      <c r="I47" s="11" t="n">
        <v>0.221</v>
      </c>
      <c r="J47" s="8" t="inlineStr">
        <is>
          <t>Express Engine Bay Hose Thermal Crack Hazard</t>
        </is>
      </c>
      <c r="K47" s="9" t="inlineStr">
        <is>
          <t>Audit Run</t>
        </is>
      </c>
      <c r="L47" s="12">
        <f>IF(C47&gt;0, 99 + (C47 * 2.5), 0)</f>
        <v/>
      </c>
    </row>
    <row r="48">
      <c r="A48" s="13" t="inlineStr">
        <is>
          <t>Spring Valley Electrical Contractors Inc</t>
        </is>
      </c>
      <c r="B48" s="14" t="inlineStr">
        <is>
          <t>Electrical Services</t>
        </is>
      </c>
      <c r="C48" s="15" t="n">
        <v>71</v>
      </c>
      <c r="D48" s="13" t="inlineStr">
        <is>
          <t>Ram ProMaster 2500</t>
        </is>
      </c>
      <c r="E48" s="13" t="inlineStr">
        <is>
          <t>Charles Gonzalez</t>
        </is>
      </c>
      <c r="F48" s="13" t="inlineStr">
        <is>
          <t>charles@springvalleyelectricalcontractorsinc.com</t>
        </is>
      </c>
      <c r="G48" s="13" t="inlineStr">
        <is>
          <t>702-555-3144</t>
        </is>
      </c>
      <c r="H48" s="14" t="inlineStr">
        <is>
          <t>DOT98039</t>
        </is>
      </c>
      <c r="I48" s="16" t="n">
        <v>0.24</v>
      </c>
      <c r="J48" s="13" t="inlineStr">
        <is>
          <t>ProMaster Brake Line Rubbing Collision Abrasion Leak</t>
        </is>
      </c>
      <c r="K48" s="14" t="inlineStr">
        <is>
          <t>Warm Prospect</t>
        </is>
      </c>
      <c r="L48" s="17">
        <f>IF(C48&gt;0, 99 + (C48 * 2.5), 0)</f>
        <v/>
      </c>
    </row>
    <row r="49">
      <c r="A49" s="8" t="inlineStr">
        <is>
          <t>Spring Valley Electric &amp; Solar Inc</t>
        </is>
      </c>
      <c r="B49" s="9" t="inlineStr">
        <is>
          <t>Electrical Services</t>
        </is>
      </c>
      <c r="C49" s="10" t="n">
        <v>35</v>
      </c>
      <c r="D49" s="8" t="inlineStr">
        <is>
          <t>Ram ProMaster 1500</t>
        </is>
      </c>
      <c r="E49" s="8" t="inlineStr">
        <is>
          <t>James Moore</t>
        </is>
      </c>
      <c r="F49" s="8" t="inlineStr">
        <is>
          <t>james@springvalleyelectricsolarinc.com</t>
        </is>
      </c>
      <c r="G49" s="8" t="inlineStr">
        <is>
          <t>702-555-4492</t>
        </is>
      </c>
      <c r="H49" s="9" t="inlineStr">
        <is>
          <t>DOT76307</t>
        </is>
      </c>
      <c r="I49" s="11" t="n">
        <v>0.122</v>
      </c>
      <c r="J49" s="8" t="inlineStr">
        <is>
          <t>ProMaster Brake Line Rubbing Collision Abrasion Leak</t>
        </is>
      </c>
      <c r="K49" s="9" t="inlineStr">
        <is>
          <t>Warm Prospect</t>
        </is>
      </c>
      <c r="L49" s="12">
        <f>IF(C49&gt;0, 99 + (C49 * 2.5), 0)</f>
        <v/>
      </c>
    </row>
    <row r="50">
      <c r="A50" s="13" t="inlineStr">
        <is>
          <t>Spring Valley Plumbing &amp; Drain LLC</t>
        </is>
      </c>
      <c r="B50" s="14" t="inlineStr">
        <is>
          <t>HVAC/Plumbing</t>
        </is>
      </c>
      <c r="C50" s="15" t="n">
        <v>50</v>
      </c>
      <c r="D50" s="13" t="inlineStr">
        <is>
          <t>Ford Transit 150</t>
        </is>
      </c>
      <c r="E50" s="13" t="inlineStr">
        <is>
          <t>Donald Moore</t>
        </is>
      </c>
      <c r="F50" s="13" t="inlineStr">
        <is>
          <t>donald@springvalleyplumbingdrainllc.com</t>
        </is>
      </c>
      <c r="G50" s="13" t="inlineStr">
        <is>
          <t>702-555-5956</t>
        </is>
      </c>
      <c r="H50" s="14" t="inlineStr">
        <is>
          <t>DOT90173</t>
        </is>
      </c>
      <c r="I50" s="16" t="n">
        <v>0.345</v>
      </c>
      <c r="J50" s="13" t="inlineStr">
        <is>
          <t>Transit 114°F Electrical Module Overheat Wire Ground Fire Risk</t>
        </is>
      </c>
      <c r="K50" s="14" t="inlineStr">
        <is>
          <t>Audit Run</t>
        </is>
      </c>
      <c r="L50" s="17">
        <f>IF(C50&gt;0, 99 + (C50 * 2.5), 0)</f>
        <v/>
      </c>
    </row>
    <row r="51">
      <c r="A51" s="8" t="inlineStr">
        <is>
          <t>Vegas Valley Plumbing Experts LLC</t>
        </is>
      </c>
      <c r="B51" s="9" t="inlineStr">
        <is>
          <t>HVAC/Plumbing</t>
        </is>
      </c>
      <c r="C51" s="10" t="n">
        <v>44</v>
      </c>
      <c r="D51" s="8" t="inlineStr">
        <is>
          <t>Ford Transit 250</t>
        </is>
      </c>
      <c r="E51" s="8" t="inlineStr">
        <is>
          <t>Charles Brown</t>
        </is>
      </c>
      <c r="F51" s="8" t="inlineStr">
        <is>
          <t>charles@vegasvalleyplumbingexpertsllc.com</t>
        </is>
      </c>
      <c r="G51" s="8" t="inlineStr">
        <is>
          <t>702-555-2753</t>
        </is>
      </c>
      <c r="H51" s="9" t="inlineStr">
        <is>
          <t>DOT82512</t>
        </is>
      </c>
      <c r="I51" s="11" t="n">
        <v>0.08799999999999999</v>
      </c>
      <c r="J51" s="8" t="inlineStr">
        <is>
          <t>Transit 114°F Electrical Module Overheat Wire Ground Fire Risk</t>
        </is>
      </c>
      <c r="K51" s="9" t="inlineStr">
        <is>
          <t>Warm Prospect</t>
        </is>
      </c>
      <c r="L51" s="12">
        <f>IF(C51&gt;0, 99 + (C51 * 2.5), 0)</f>
        <v/>
      </c>
    </row>
    <row r="52">
      <c r="A52" s="13" t="inlineStr">
        <is>
          <t>Sunset Charter Buses LLC</t>
        </is>
      </c>
      <c r="B52" s="14" t="inlineStr">
        <is>
          <t>Boutique Transit</t>
        </is>
      </c>
      <c r="C52" s="15" t="n">
        <v>77</v>
      </c>
      <c r="D52" s="13" t="inlineStr">
        <is>
          <t>Mercedes-Benz Sprinter 2500</t>
        </is>
      </c>
      <c r="E52" s="13" t="inlineStr">
        <is>
          <t>Paul Thomas</t>
        </is>
      </c>
      <c r="F52" s="13" t="inlineStr">
        <is>
          <t>paul@sunsetcharterbusesllc.com</t>
        </is>
      </c>
      <c r="G52" s="13" t="inlineStr">
        <is>
          <t>702-555-5114</t>
        </is>
      </c>
      <c r="H52" s="14" t="inlineStr">
        <is>
          <t>DOT16658</t>
        </is>
      </c>
      <c r="I52" s="16" t="n">
        <v>0.06900000000000001</v>
      </c>
      <c r="J52" s="13" t="inlineStr">
        <is>
          <t>Sprinter AC Comp Condensation Drain Backup Wiring Short</t>
        </is>
      </c>
      <c r="K52" s="14" t="inlineStr">
        <is>
          <t>Warm Prospect</t>
        </is>
      </c>
      <c r="L52" s="17">
        <f>IF(C52&gt;0, 99 + (C52 * 2.5), 0)</f>
        <v/>
      </c>
    </row>
    <row r="53">
      <c r="A53" s="8" t="inlineStr">
        <is>
          <t>Silver State Electric &amp; Solar LLC</t>
        </is>
      </c>
      <c r="B53" s="9" t="inlineStr">
        <is>
          <t>Electrical Services</t>
        </is>
      </c>
      <c r="C53" s="10" t="n">
        <v>77</v>
      </c>
      <c r="D53" s="8" t="inlineStr">
        <is>
          <t>Chevy Express 3500</t>
        </is>
      </c>
      <c r="E53" s="8" t="inlineStr">
        <is>
          <t>William Anderson</t>
        </is>
      </c>
      <c r="F53" s="8" t="inlineStr">
        <is>
          <t>william@silverstateelectricsolarllc.com</t>
        </is>
      </c>
      <c r="G53" s="8" t="inlineStr">
        <is>
          <t>702-555-8007</t>
        </is>
      </c>
      <c r="H53" s="9" t="inlineStr">
        <is>
          <t>DOT83519</t>
        </is>
      </c>
      <c r="I53" s="11" t="n">
        <v>0.043</v>
      </c>
      <c r="J53" s="8" t="inlineStr">
        <is>
          <t>Express Engine Bay Hose Thermal Crack Hazard</t>
        </is>
      </c>
      <c r="K53" s="9" t="inlineStr">
        <is>
          <t>Warm Prospect</t>
        </is>
      </c>
      <c r="L53" s="12">
        <f>IF(C53&gt;0, 99 + (C53 * 2.5), 0)</f>
        <v/>
      </c>
    </row>
    <row r="54">
      <c r="A54" s="13" t="inlineStr">
        <is>
          <t>Spring Valley Airport Express Group</t>
        </is>
      </c>
      <c r="B54" s="14" t="inlineStr">
        <is>
          <t>Boutique Transit</t>
        </is>
      </c>
      <c r="C54" s="15" t="n">
        <v>104</v>
      </c>
      <c r="D54" s="13" t="inlineStr">
        <is>
          <t>Mercedes-Benz Sprinter 2500</t>
        </is>
      </c>
      <c r="E54" s="13" t="inlineStr">
        <is>
          <t>Joshua Moore</t>
        </is>
      </c>
      <c r="F54" s="13" t="inlineStr">
        <is>
          <t>joshua@springvalleyairportexpressgroup.com</t>
        </is>
      </c>
      <c r="G54" s="13" t="inlineStr">
        <is>
          <t>702-555-3426</t>
        </is>
      </c>
      <c r="H54" s="14" t="inlineStr">
        <is>
          <t>DOT66333</t>
        </is>
      </c>
      <c r="I54" s="16" t="n">
        <v>0.08</v>
      </c>
      <c r="J54" s="13" t="inlineStr">
        <is>
          <t>Sprinter AC Comp Condensation Drain Backup Wiring Short</t>
        </is>
      </c>
      <c r="K54" s="14" t="inlineStr">
        <is>
          <t>Warm Prospect</t>
        </is>
      </c>
      <c r="L54" s="17">
        <f>IF(C54&gt;0, 99 + (C54 * 2.5), 0)</f>
        <v/>
      </c>
    </row>
    <row r="55">
      <c r="A55" s="8" t="inlineStr">
        <is>
          <t>Spring Valley Electric &amp; Solar LLC</t>
        </is>
      </c>
      <c r="B55" s="9" t="inlineStr">
        <is>
          <t>Electrical Services</t>
        </is>
      </c>
      <c r="C55" s="10" t="n">
        <v>73</v>
      </c>
      <c r="D55" s="8" t="inlineStr">
        <is>
          <t>Chevy Express 3500</t>
        </is>
      </c>
      <c r="E55" s="8" t="inlineStr">
        <is>
          <t>Robert Lopez</t>
        </is>
      </c>
      <c r="F55" s="8" t="inlineStr">
        <is>
          <t>robert@springvalleyelectricsolarllc.com</t>
        </is>
      </c>
      <c r="G55" s="8" t="inlineStr">
        <is>
          <t>702-555-7658</t>
        </is>
      </c>
      <c r="H55" s="9" t="inlineStr">
        <is>
          <t>DOT91351</t>
        </is>
      </c>
      <c r="I55" s="11" t="n">
        <v>0.272</v>
      </c>
      <c r="J55" s="8" t="inlineStr">
        <is>
          <t>Express Engine Bay Hose Thermal Crack Hazard</t>
        </is>
      </c>
      <c r="K55" s="9" t="inlineStr">
        <is>
          <t>Warm Prospect</t>
        </is>
      </c>
      <c r="L55" s="12">
        <f>IF(C55&gt;0, 99 + (C55 * 2.5), 0)</f>
        <v/>
      </c>
    </row>
    <row r="56">
      <c r="A56" s="13" t="inlineStr">
        <is>
          <t>Henderson Plumbing &amp; Drain LLC</t>
        </is>
      </c>
      <c r="B56" s="14" t="inlineStr">
        <is>
          <t>HVAC/Plumbing</t>
        </is>
      </c>
      <c r="C56" s="15" t="n">
        <v>55</v>
      </c>
      <c r="D56" s="13" t="inlineStr">
        <is>
          <t>Ford Transit 250</t>
        </is>
      </c>
      <c r="E56" s="13" t="inlineStr">
        <is>
          <t>Daniel Wilson</t>
        </is>
      </c>
      <c r="F56" s="13" t="inlineStr">
        <is>
          <t>daniel@hendersonplumbingdrainllc.com</t>
        </is>
      </c>
      <c r="G56" s="13" t="inlineStr">
        <is>
          <t>702-555-5065</t>
        </is>
      </c>
      <c r="H56" s="14" t="inlineStr">
        <is>
          <t>DOT44970</t>
        </is>
      </c>
      <c r="I56" s="16" t="n">
        <v>0.089</v>
      </c>
      <c r="J56" s="13" t="inlineStr">
        <is>
          <t>Transit 114°F Electrical Module Overheat Wire Ground Fire Risk</t>
        </is>
      </c>
      <c r="K56" s="14" t="inlineStr">
        <is>
          <t>Warm Prospect</t>
        </is>
      </c>
      <c r="L56" s="17">
        <f>IF(C56&gt;0, 99 + (C56 * 2.5), 0)</f>
        <v/>
      </c>
    </row>
    <row r="57">
      <c r="A57" s="8" t="inlineStr">
        <is>
          <t>Summerlin Electric &amp; Solar LLC</t>
        </is>
      </c>
      <c r="B57" s="9" t="inlineStr">
        <is>
          <t>Electrical Services</t>
        </is>
      </c>
      <c r="C57" s="10" t="n">
        <v>61</v>
      </c>
      <c r="D57" s="8" t="inlineStr">
        <is>
          <t>Chevy Express 3500</t>
        </is>
      </c>
      <c r="E57" s="8" t="inlineStr">
        <is>
          <t>Donald Lopez</t>
        </is>
      </c>
      <c r="F57" s="8" t="inlineStr">
        <is>
          <t>donald@summerlinelectricsolarllc.com</t>
        </is>
      </c>
      <c r="G57" s="8" t="inlineStr">
        <is>
          <t>702-555-6000</t>
        </is>
      </c>
      <c r="H57" s="9" t="inlineStr">
        <is>
          <t>DOT39831</t>
        </is>
      </c>
      <c r="I57" s="11" t="n">
        <v>0.109</v>
      </c>
      <c r="J57" s="8" t="inlineStr">
        <is>
          <t>Express Engine Bay Hose Thermal Crack Hazard</t>
        </is>
      </c>
      <c r="K57" s="9" t="inlineStr">
        <is>
          <t>Warm Prospect</t>
        </is>
      </c>
      <c r="L57" s="12">
        <f>IF(C57&gt;0, 99 + (C57 * 2.5), 0)</f>
        <v/>
      </c>
    </row>
    <row r="58">
      <c r="A58" s="13" t="inlineStr">
        <is>
          <t>Valley Electrical Contractors Inc</t>
        </is>
      </c>
      <c r="B58" s="14" t="inlineStr">
        <is>
          <t>Electrical Services</t>
        </is>
      </c>
      <c r="C58" s="15" t="n">
        <v>99</v>
      </c>
      <c r="D58" s="13" t="inlineStr">
        <is>
          <t>Ram ProMaster 2500</t>
        </is>
      </c>
      <c r="E58" s="13" t="inlineStr">
        <is>
          <t>Paul Gonzalez</t>
        </is>
      </c>
      <c r="F58" s="13" t="inlineStr">
        <is>
          <t>paul@valleyelectricalcontractorsinc.com</t>
        </is>
      </c>
      <c r="G58" s="13" t="inlineStr">
        <is>
          <t>702-555-9785</t>
        </is>
      </c>
      <c r="H58" s="14" t="inlineStr">
        <is>
          <t>DOT53404</t>
        </is>
      </c>
      <c r="I58" s="16" t="n">
        <v>0.331</v>
      </c>
      <c r="J58" s="13" t="inlineStr">
        <is>
          <t>ProMaster Brake Line Rubbing Collision Abrasion Leak</t>
        </is>
      </c>
      <c r="K58" s="14" t="inlineStr">
        <is>
          <t>Warm Prospect</t>
        </is>
      </c>
      <c r="L58" s="17">
        <f>IF(C58&gt;0, 99 + (C58 * 2.5), 0)</f>
        <v/>
      </c>
    </row>
    <row r="59">
      <c r="A59" s="8" t="inlineStr">
        <is>
          <t>Red Rock Lighting &amp; Power LLC</t>
        </is>
      </c>
      <c r="B59" s="9" t="inlineStr">
        <is>
          <t>Electrical Services</t>
        </is>
      </c>
      <c r="C59" s="10" t="n">
        <v>37</v>
      </c>
      <c r="D59" s="8" t="inlineStr">
        <is>
          <t>Chevy Express 2500</t>
        </is>
      </c>
      <c r="E59" s="8" t="inlineStr">
        <is>
          <t>Kenneth Wilson</t>
        </is>
      </c>
      <c r="F59" s="8" t="inlineStr">
        <is>
          <t>kenneth@redrocklightingpowerllc.com</t>
        </is>
      </c>
      <c r="G59" s="8" t="inlineStr">
        <is>
          <t>702-555-6663</t>
        </is>
      </c>
      <c r="H59" s="9" t="inlineStr">
        <is>
          <t>DOT51114</t>
        </is>
      </c>
      <c r="I59" s="11" t="n">
        <v>0.175</v>
      </c>
      <c r="J59" s="8" t="inlineStr">
        <is>
          <t>Express Engine Bay Hose Thermal Crack Hazard</t>
        </is>
      </c>
      <c r="K59" s="9" t="inlineStr">
        <is>
          <t>Audit Run</t>
        </is>
      </c>
      <c r="L59" s="12">
        <f>IF(C59&gt;0, 99 + (C59 * 2.5), 0)</f>
        <v/>
      </c>
    </row>
    <row r="60">
      <c r="A60" s="13" t="inlineStr">
        <is>
          <t>Titan Plumbing Experts Inc</t>
        </is>
      </c>
      <c r="B60" s="14" t="inlineStr">
        <is>
          <t>HVAC/Plumbing</t>
        </is>
      </c>
      <c r="C60" s="15" t="n">
        <v>21</v>
      </c>
      <c r="D60" s="13" t="inlineStr">
        <is>
          <t>Ford Transit 150</t>
        </is>
      </c>
      <c r="E60" s="13" t="inlineStr">
        <is>
          <t>Mark Smith</t>
        </is>
      </c>
      <c r="F60" s="13" t="inlineStr">
        <is>
          <t>mark@titanplumbingexpertsinc.com</t>
        </is>
      </c>
      <c r="G60" s="13" t="inlineStr">
        <is>
          <t>702-555-9518</t>
        </is>
      </c>
      <c r="H60" s="14" t="inlineStr">
        <is>
          <t>DOT80575</t>
        </is>
      </c>
      <c r="I60" s="16" t="n">
        <v>0.253</v>
      </c>
      <c r="J60" s="13" t="inlineStr">
        <is>
          <t>Transit 114°F Electrical Module Overheat Wire Ground Fire Risk</t>
        </is>
      </c>
      <c r="K60" s="14" t="inlineStr">
        <is>
          <t>Warm Prospect</t>
        </is>
      </c>
      <c r="L60" s="17">
        <f>IF(C60&gt;0, 99 + (C60 * 2.5), 0)</f>
        <v/>
      </c>
    </row>
    <row r="61">
      <c r="A61" s="8" t="inlineStr">
        <is>
          <t>Titan Electric &amp; Solar Group</t>
        </is>
      </c>
      <c r="B61" s="9" t="inlineStr">
        <is>
          <t>Electrical Services</t>
        </is>
      </c>
      <c r="C61" s="10" t="n">
        <v>90</v>
      </c>
      <c r="D61" s="8" t="inlineStr">
        <is>
          <t>Ram ProMaster 2500</t>
        </is>
      </c>
      <c r="E61" s="8" t="inlineStr">
        <is>
          <t>Robert Martinez</t>
        </is>
      </c>
      <c r="F61" s="8" t="inlineStr">
        <is>
          <t>robert@titanelectricsolargroup.com</t>
        </is>
      </c>
      <c r="G61" s="8" t="inlineStr">
        <is>
          <t>702-555-9308</t>
        </is>
      </c>
      <c r="H61" s="9" t="inlineStr">
        <is>
          <t>DOT50538</t>
        </is>
      </c>
      <c r="I61" s="11" t="n">
        <v>0.247</v>
      </c>
      <c r="J61" s="8" t="inlineStr">
        <is>
          <t>ProMaster Brake Line Rubbing Collision Abrasion Leak</t>
        </is>
      </c>
      <c r="K61" s="9" t="inlineStr">
        <is>
          <t>Warm Prospect</t>
        </is>
      </c>
      <c r="L61" s="12">
        <f>IF(C61&gt;0, 99 + (C61 * 2.5), 0)</f>
        <v/>
      </c>
    </row>
    <row r="62">
      <c r="A62" s="13" t="inlineStr">
        <is>
          <t>Clark County Electrical Contractors Group</t>
        </is>
      </c>
      <c r="B62" s="14" t="inlineStr">
        <is>
          <t>Electrical Services</t>
        </is>
      </c>
      <c r="C62" s="15" t="n">
        <v>59</v>
      </c>
      <c r="D62" s="13" t="inlineStr">
        <is>
          <t>Chevy Express 3500</t>
        </is>
      </c>
      <c r="E62" s="13" t="inlineStr">
        <is>
          <t>Mark Gonzalez</t>
        </is>
      </c>
      <c r="F62" s="13" t="inlineStr">
        <is>
          <t>mark@clarkcountyelectricalcontractorsgroup.com</t>
        </is>
      </c>
      <c r="G62" s="13" t="inlineStr">
        <is>
          <t>702-555-3851</t>
        </is>
      </c>
      <c r="H62" s="14" t="inlineStr">
        <is>
          <t>DOT90676</t>
        </is>
      </c>
      <c r="I62" s="16" t="n">
        <v>0.216</v>
      </c>
      <c r="J62" s="13" t="inlineStr">
        <is>
          <t>Express Engine Bay Hose Thermal Crack Hazard</t>
        </is>
      </c>
      <c r="K62" s="14" t="inlineStr">
        <is>
          <t>Warm Prospect</t>
        </is>
      </c>
      <c r="L62" s="17">
        <f>IF(C62&gt;0, 99 + (C62 * 2.5), 0)</f>
        <v/>
      </c>
    </row>
    <row r="63">
      <c r="A63" s="8" t="inlineStr">
        <is>
          <t>Summerlin Shuttles LLC</t>
        </is>
      </c>
      <c r="B63" s="9" t="inlineStr">
        <is>
          <t>Boutique Transit</t>
        </is>
      </c>
      <c r="C63" s="10" t="n">
        <v>63</v>
      </c>
      <c r="D63" s="8" t="inlineStr">
        <is>
          <t>Mercedes-Benz Sprinter 3500</t>
        </is>
      </c>
      <c r="E63" s="8" t="inlineStr">
        <is>
          <t>Mark Jackson</t>
        </is>
      </c>
      <c r="F63" s="8" t="inlineStr">
        <is>
          <t>mark@summerlinshuttlesllc.com</t>
        </is>
      </c>
      <c r="G63" s="8" t="inlineStr">
        <is>
          <t>702-555-6279</t>
        </is>
      </c>
      <c r="H63" s="9" t="inlineStr">
        <is>
          <t>DOT70946</t>
        </is>
      </c>
      <c r="I63" s="11" t="n">
        <v>0.177</v>
      </c>
      <c r="J63" s="8" t="inlineStr">
        <is>
          <t>Sprinter AC Comp Condensation Drain Backup Wiring Short</t>
        </is>
      </c>
      <c r="K63" s="9" t="inlineStr">
        <is>
          <t>Warm Prospect</t>
        </is>
      </c>
      <c r="L63" s="12">
        <f>IF(C63&gt;0, 99 + (C63 * 2.5), 0)</f>
        <v/>
      </c>
    </row>
    <row r="64">
      <c r="A64" s="13" t="inlineStr">
        <is>
          <t>First Choice Charter Buses Inc</t>
        </is>
      </c>
      <c r="B64" s="14" t="inlineStr">
        <is>
          <t>Boutique Transit</t>
        </is>
      </c>
      <c r="C64" s="15" t="n">
        <v>31</v>
      </c>
      <c r="D64" s="13" t="inlineStr">
        <is>
          <t>Ford Transit 350</t>
        </is>
      </c>
      <c r="E64" s="13" t="inlineStr">
        <is>
          <t>Christopher Taylor</t>
        </is>
      </c>
      <c r="F64" s="13" t="inlineStr">
        <is>
          <t>christopher@firstchoicecharterbusesinc.com</t>
        </is>
      </c>
      <c r="G64" s="13" t="inlineStr">
        <is>
          <t>702-555-6491</t>
        </is>
      </c>
      <c r="H64" s="14" t="inlineStr">
        <is>
          <t>DOT22240</t>
        </is>
      </c>
      <c r="I64" s="16" t="n">
        <v>0.294</v>
      </c>
      <c r="J64" s="13" t="inlineStr">
        <is>
          <t>Transit 114°F Electrical Module Overheat Wire Ground Fire Risk</t>
        </is>
      </c>
      <c r="K64" s="14" t="inlineStr">
        <is>
          <t>Warm Prospect</t>
        </is>
      </c>
      <c r="L64" s="17">
        <f>IF(C64&gt;0, 99 + (C64 * 2.5), 0)</f>
        <v/>
      </c>
    </row>
    <row r="65">
      <c r="A65" s="8" t="inlineStr">
        <is>
          <t>Mojave Airport Express Inc</t>
        </is>
      </c>
      <c r="B65" s="9" t="inlineStr">
        <is>
          <t>Boutique Transit</t>
        </is>
      </c>
      <c r="C65" s="10" t="n">
        <v>16</v>
      </c>
      <c r="D65" s="8" t="inlineStr">
        <is>
          <t>Mercedes-Benz Sprinter 2500</t>
        </is>
      </c>
      <c r="E65" s="8" t="inlineStr">
        <is>
          <t>Michael Davis</t>
        </is>
      </c>
      <c r="F65" s="8" t="inlineStr">
        <is>
          <t>michael@mojaveairportexpressinc.com</t>
        </is>
      </c>
      <c r="G65" s="8" t="inlineStr">
        <is>
          <t>702-555-8784</t>
        </is>
      </c>
      <c r="H65" s="9" t="inlineStr">
        <is>
          <t>DOT90120</t>
        </is>
      </c>
      <c r="I65" s="11" t="n">
        <v>0.303</v>
      </c>
      <c r="J65" s="8" t="inlineStr">
        <is>
          <t>Sprinter AC Comp Condensation Drain Backup Wiring Short</t>
        </is>
      </c>
      <c r="K65" s="9" t="inlineStr">
        <is>
          <t>Warm Prospect</t>
        </is>
      </c>
      <c r="L65" s="12">
        <f>IF(C65&gt;0, 99 + (C65 * 2.5), 0)</f>
        <v/>
      </c>
    </row>
    <row r="66">
      <c r="A66" s="13" t="inlineStr">
        <is>
          <t>Titan Electric Pros Group</t>
        </is>
      </c>
      <c r="B66" s="14" t="inlineStr">
        <is>
          <t>Electrical Services</t>
        </is>
      </c>
      <c r="C66" s="15" t="n">
        <v>108</v>
      </c>
      <c r="D66" s="13" t="inlineStr">
        <is>
          <t>Chevy Express 3500</t>
        </is>
      </c>
      <c r="E66" s="13" t="inlineStr">
        <is>
          <t>Steven Gonzalez</t>
        </is>
      </c>
      <c r="F66" s="13" t="inlineStr">
        <is>
          <t>steven@titanelectricprosgroup.com</t>
        </is>
      </c>
      <c r="G66" s="13" t="inlineStr">
        <is>
          <t>702-555-4997</t>
        </is>
      </c>
      <c r="H66" s="14" t="inlineStr">
        <is>
          <t>DOT29342</t>
        </is>
      </c>
      <c r="I66" s="16" t="n">
        <v>0.243</v>
      </c>
      <c r="J66" s="13" t="inlineStr">
        <is>
          <t>Express Engine Bay Hose Thermal Crack Hazard</t>
        </is>
      </c>
      <c r="K66" s="14" t="inlineStr">
        <is>
          <t>Warm Prospect</t>
        </is>
      </c>
      <c r="L66" s="17">
        <f>IF(C66&gt;0, 99 + (C66 * 2.5), 0)</f>
        <v/>
      </c>
    </row>
    <row r="67">
      <c r="A67" s="8" t="inlineStr">
        <is>
          <t>Henderson Comfort Heating Inc</t>
        </is>
      </c>
      <c r="B67" s="9" t="inlineStr">
        <is>
          <t>HVAC/Plumbing</t>
        </is>
      </c>
      <c r="C67" s="10" t="n">
        <v>142</v>
      </c>
      <c r="D67" s="8" t="inlineStr">
        <is>
          <t>Ford Transit 350</t>
        </is>
      </c>
      <c r="E67" s="8" t="inlineStr">
        <is>
          <t>Donald Johnson</t>
        </is>
      </c>
      <c r="F67" s="8" t="inlineStr">
        <is>
          <t>donald@hendersoncomfortheatinginc.com</t>
        </is>
      </c>
      <c r="G67" s="8" t="inlineStr">
        <is>
          <t>702-555-5082</t>
        </is>
      </c>
      <c r="H67" s="9" t="inlineStr">
        <is>
          <t>DOT25906</t>
        </is>
      </c>
      <c r="I67" s="11" t="n">
        <v>0.182</v>
      </c>
      <c r="J67" s="8" t="inlineStr">
        <is>
          <t>Transit 114°F Electrical Module Overheat Wire Ground Fire Risk</t>
        </is>
      </c>
      <c r="K67" s="9" t="inlineStr">
        <is>
          <t>Warm Prospect</t>
        </is>
      </c>
      <c r="L67" s="12">
        <f>IF(C67&gt;0, 99 + (C67 * 2.5), 0)</f>
        <v/>
      </c>
    </row>
    <row r="68">
      <c r="A68" s="13" t="inlineStr">
        <is>
          <t>High Rise Logistics Group</t>
        </is>
      </c>
      <c r="B68" s="14" t="inlineStr">
        <is>
          <t>Boutique Transit</t>
        </is>
      </c>
      <c r="C68" s="15" t="n">
        <v>123</v>
      </c>
      <c r="D68" s="13" t="inlineStr">
        <is>
          <t>Mercedes-Benz Sprinter 3500</t>
        </is>
      </c>
      <c r="E68" s="13" t="inlineStr">
        <is>
          <t>Kenneth Taylor</t>
        </is>
      </c>
      <c r="F68" s="13" t="inlineStr">
        <is>
          <t>kenneth@highriselogisticsgroup.com</t>
        </is>
      </c>
      <c r="G68" s="13" t="inlineStr">
        <is>
          <t>702-555-7991</t>
        </is>
      </c>
      <c r="H68" s="14" t="inlineStr">
        <is>
          <t>DOT81810</t>
        </is>
      </c>
      <c r="I68" s="16" t="n">
        <v>0.178</v>
      </c>
      <c r="J68" s="13" t="inlineStr">
        <is>
          <t>Sprinter AC Comp Condensation Drain Backup Wiring Short</t>
        </is>
      </c>
      <c r="K68" s="14" t="inlineStr">
        <is>
          <t>Warm Prospect</t>
        </is>
      </c>
      <c r="L68" s="17">
        <f>IF(C68&gt;0, 99 + (C68 * 2.5), 0)</f>
        <v/>
      </c>
    </row>
    <row r="69">
      <c r="A69" s="8" t="inlineStr">
        <is>
          <t>Summerlin Tours &amp; Transit LLC</t>
        </is>
      </c>
      <c r="B69" s="9" t="inlineStr">
        <is>
          <t>Boutique Transit</t>
        </is>
      </c>
      <c r="C69" s="10" t="n">
        <v>73</v>
      </c>
      <c r="D69" s="8" t="inlineStr">
        <is>
          <t>Mercedes-Benz Sprinter 3500</t>
        </is>
      </c>
      <c r="E69" s="8" t="inlineStr">
        <is>
          <t>Charles Taylor</t>
        </is>
      </c>
      <c r="F69" s="8" t="inlineStr">
        <is>
          <t>charles@summerlintourstransitllc.com</t>
        </is>
      </c>
      <c r="G69" s="8" t="inlineStr">
        <is>
          <t>702-555-8939</t>
        </is>
      </c>
      <c r="H69" s="9" t="inlineStr">
        <is>
          <t>DOT92149</t>
        </is>
      </c>
      <c r="I69" s="11" t="n">
        <v>0.114</v>
      </c>
      <c r="J69" s="8" t="inlineStr">
        <is>
          <t>Sprinter AC Comp Condensation Drain Backup Wiring Short</t>
        </is>
      </c>
      <c r="K69" s="9" t="inlineStr">
        <is>
          <t>Warm Prospect</t>
        </is>
      </c>
      <c r="L69" s="12">
        <f>IF(C69&gt;0, 99 + (C69 * 2.5), 0)</f>
        <v/>
      </c>
    </row>
    <row r="70">
      <c r="A70" s="13" t="inlineStr">
        <is>
          <t>Clark County HVAC Services Inc</t>
        </is>
      </c>
      <c r="B70" s="14" t="inlineStr">
        <is>
          <t>HVAC/Plumbing</t>
        </is>
      </c>
      <c r="C70" s="15" t="n">
        <v>95</v>
      </c>
      <c r="D70" s="13" t="inlineStr">
        <is>
          <t>Ford Transit 150</t>
        </is>
      </c>
      <c r="E70" s="13" t="inlineStr">
        <is>
          <t>Daniel Moore</t>
        </is>
      </c>
      <c r="F70" s="13" t="inlineStr">
        <is>
          <t>daniel@clarkcountyhvacservicesinc.com</t>
        </is>
      </c>
      <c r="G70" s="13" t="inlineStr">
        <is>
          <t>702-555-2320</t>
        </is>
      </c>
      <c r="H70" s="14" t="inlineStr">
        <is>
          <t>DOT28136</t>
        </is>
      </c>
      <c r="I70" s="16" t="n">
        <v>0.08699999999999999</v>
      </c>
      <c r="J70" s="13" t="inlineStr">
        <is>
          <t>Transit 114°F Electrical Module Overheat Wire Ground Fire Risk</t>
        </is>
      </c>
      <c r="K70" s="14" t="inlineStr">
        <is>
          <t>Warm Prospect</t>
        </is>
      </c>
      <c r="L70" s="17">
        <f>IF(C70&gt;0, 99 + (C70 * 2.5), 0)</f>
        <v/>
      </c>
    </row>
    <row r="71">
      <c r="A71" s="8" t="inlineStr">
        <is>
          <t>Red Rock Charter Buses Inc</t>
        </is>
      </c>
      <c r="B71" s="9" t="inlineStr">
        <is>
          <t>Boutique Transit</t>
        </is>
      </c>
      <c r="C71" s="10" t="n">
        <v>116</v>
      </c>
      <c r="D71" s="8" t="inlineStr">
        <is>
          <t>Mercedes-Benz Sprinter 2500</t>
        </is>
      </c>
      <c r="E71" s="8" t="inlineStr">
        <is>
          <t>Mark Hernandez</t>
        </is>
      </c>
      <c r="F71" s="8" t="inlineStr">
        <is>
          <t>mark@redrockcharterbusesinc.com</t>
        </is>
      </c>
      <c r="G71" s="8" t="inlineStr">
        <is>
          <t>702-555-9890</t>
        </is>
      </c>
      <c r="H71" s="9" t="inlineStr">
        <is>
          <t>DOT71069</t>
        </is>
      </c>
      <c r="I71" s="11" t="n">
        <v>0.169</v>
      </c>
      <c r="J71" s="8" t="inlineStr">
        <is>
          <t>Sprinter AC Comp Condensation Drain Backup Wiring Short</t>
        </is>
      </c>
      <c r="K71" s="9" t="inlineStr">
        <is>
          <t>Warm Prospect</t>
        </is>
      </c>
      <c r="L71" s="12">
        <f>IF(C71&gt;0, 99 + (C71 * 2.5), 0)</f>
        <v/>
      </c>
    </row>
    <row r="72">
      <c r="A72" s="13" t="inlineStr">
        <is>
          <t>Titan Lighting &amp; Power Group</t>
        </is>
      </c>
      <c r="B72" s="14" t="inlineStr">
        <is>
          <t>Electrical Services</t>
        </is>
      </c>
      <c r="C72" s="15" t="n">
        <v>107</v>
      </c>
      <c r="D72" s="13" t="inlineStr">
        <is>
          <t>Chevy Express 2500</t>
        </is>
      </c>
      <c r="E72" s="13" t="inlineStr">
        <is>
          <t>Steven Smith</t>
        </is>
      </c>
      <c r="F72" s="13" t="inlineStr">
        <is>
          <t>steven@titanlightingpowergroup.com</t>
        </is>
      </c>
      <c r="G72" s="13" t="inlineStr">
        <is>
          <t>702-555-6763</t>
        </is>
      </c>
      <c r="H72" s="14" t="inlineStr">
        <is>
          <t>DOT49139</t>
        </is>
      </c>
      <c r="I72" s="16" t="n">
        <v>0.274</v>
      </c>
      <c r="J72" s="13" t="inlineStr">
        <is>
          <t>Express Engine Bay Hose Thermal Crack Hazard</t>
        </is>
      </c>
      <c r="K72" s="14" t="inlineStr">
        <is>
          <t>Warm Prospect</t>
        </is>
      </c>
      <c r="L72" s="17">
        <f>IF(C72&gt;0, 99 + (C72 * 2.5), 0)</f>
        <v/>
      </c>
    </row>
    <row r="73">
      <c r="A73" s="8" t="inlineStr">
        <is>
          <t>Clark County Charter Buses Group</t>
        </is>
      </c>
      <c r="B73" s="9" t="inlineStr">
        <is>
          <t>Boutique Transit</t>
        </is>
      </c>
      <c r="C73" s="10" t="n">
        <v>66</v>
      </c>
      <c r="D73" s="8" t="inlineStr">
        <is>
          <t>Ford Transit 350</t>
        </is>
      </c>
      <c r="E73" s="8" t="inlineStr">
        <is>
          <t>Steven Davis</t>
        </is>
      </c>
      <c r="F73" s="8" t="inlineStr">
        <is>
          <t>steven@clarkcountycharterbusesgroup.com</t>
        </is>
      </c>
      <c r="G73" s="8" t="inlineStr">
        <is>
          <t>702-555-5471</t>
        </is>
      </c>
      <c r="H73" s="9" t="inlineStr">
        <is>
          <t>DOT67125</t>
        </is>
      </c>
      <c r="I73" s="11" t="n">
        <v>0.191</v>
      </c>
      <c r="J73" s="8" t="inlineStr">
        <is>
          <t>Transit 114°F Electrical Module Overheat Wire Ground Fire Risk</t>
        </is>
      </c>
      <c r="K73" s="9" t="inlineStr">
        <is>
          <t>Warm Prospect</t>
        </is>
      </c>
      <c r="L73" s="12">
        <f>IF(C73&gt;0, 99 + (C73 * 2.5), 0)</f>
        <v/>
      </c>
    </row>
    <row r="74">
      <c r="A74" s="13" t="inlineStr">
        <is>
          <t>Vegas Valley Electric Pros LLC</t>
        </is>
      </c>
      <c r="B74" s="14" t="inlineStr">
        <is>
          <t>Electrical Services</t>
        </is>
      </c>
      <c r="C74" s="15" t="n">
        <v>129</v>
      </c>
      <c r="D74" s="13" t="inlineStr">
        <is>
          <t>Chevy Express 3500</t>
        </is>
      </c>
      <c r="E74" s="13" t="inlineStr">
        <is>
          <t>David Martin</t>
        </is>
      </c>
      <c r="F74" s="13" t="inlineStr">
        <is>
          <t>david@vegasvalleyelectricprosllc.com</t>
        </is>
      </c>
      <c r="G74" s="13" t="inlineStr">
        <is>
          <t>702-555-9751</t>
        </is>
      </c>
      <c r="H74" s="14" t="inlineStr">
        <is>
          <t>DOT13534</t>
        </is>
      </c>
      <c r="I74" s="16" t="n">
        <v>0.321</v>
      </c>
      <c r="J74" s="13" t="inlineStr">
        <is>
          <t>Express Engine Bay Hose Thermal Crack Hazard</t>
        </is>
      </c>
      <c r="K74" s="14" t="inlineStr">
        <is>
          <t>Audit Run</t>
        </is>
      </c>
      <c r="L74" s="17">
        <f>IF(C74&gt;0, 99 + (C74 * 2.5), 0)</f>
        <v/>
      </c>
    </row>
    <row r="75">
      <c r="A75" s="8" t="inlineStr">
        <is>
          <t>Vegas Valley Shuttles Inc</t>
        </is>
      </c>
      <c r="B75" s="9" t="inlineStr">
        <is>
          <t>Boutique Transit</t>
        </is>
      </c>
      <c r="C75" s="10" t="n">
        <v>119</v>
      </c>
      <c r="D75" s="8" t="inlineStr">
        <is>
          <t>Ford Transit 350</t>
        </is>
      </c>
      <c r="E75" s="8" t="inlineStr">
        <is>
          <t>David Anderson</t>
        </is>
      </c>
      <c r="F75" s="8" t="inlineStr">
        <is>
          <t>david@vegasvalleyshuttlesinc.com</t>
        </is>
      </c>
      <c r="G75" s="8" t="inlineStr">
        <is>
          <t>702-555-3977</t>
        </is>
      </c>
      <c r="H75" s="9" t="inlineStr">
        <is>
          <t>DOT16590</t>
        </is>
      </c>
      <c r="I75" s="11" t="n">
        <v>0.121</v>
      </c>
      <c r="J75" s="8" t="inlineStr">
        <is>
          <t>Transit 114°F Electrical Module Overheat Wire Ground Fire Risk</t>
        </is>
      </c>
      <c r="K75" s="9" t="inlineStr">
        <is>
          <t>Warm Prospect</t>
        </is>
      </c>
      <c r="L75" s="12">
        <f>IF(C75&gt;0, 99 + (C75 * 2.5), 0)</f>
        <v/>
      </c>
    </row>
    <row r="76">
      <c r="A76" s="13" t="inlineStr">
        <is>
          <t>First Choice HVAC Services LLC</t>
        </is>
      </c>
      <c r="B76" s="14" t="inlineStr">
        <is>
          <t>HVAC/Plumbing</t>
        </is>
      </c>
      <c r="C76" s="15" t="n">
        <v>81</v>
      </c>
      <c r="D76" s="13" t="inlineStr">
        <is>
          <t>GMC Savana 2500</t>
        </is>
      </c>
      <c r="E76" s="13" t="inlineStr">
        <is>
          <t>Mark Rodriguez</t>
        </is>
      </c>
      <c r="F76" s="13" t="inlineStr">
        <is>
          <t>mark@firstchoicehvacservicesllc.com</t>
        </is>
      </c>
      <c r="G76" s="13" t="inlineStr">
        <is>
          <t>702-555-2341</t>
        </is>
      </c>
      <c r="H76" s="14" t="inlineStr">
        <is>
          <t>DOT71644</t>
        </is>
      </c>
      <c r="I76" s="16" t="n">
        <v>0.046</v>
      </c>
      <c r="J76" s="13" t="inlineStr">
        <is>
          <t>Savana Desert Fuel Line Seal Degradation Failure</t>
        </is>
      </c>
      <c r="K76" s="14" t="inlineStr">
        <is>
          <t>Audit Run</t>
        </is>
      </c>
      <c r="L76" s="17">
        <f>IF(C76&gt;0, 99 + (C76 * 2.5), 0)</f>
        <v/>
      </c>
    </row>
    <row r="77">
      <c r="A77" s="8" t="inlineStr">
        <is>
          <t>Valley Plumbing &amp; Drain Group</t>
        </is>
      </c>
      <c r="B77" s="9" t="inlineStr">
        <is>
          <t>HVAC/Plumbing</t>
        </is>
      </c>
      <c r="C77" s="10" t="n">
        <v>20</v>
      </c>
      <c r="D77" s="8" t="inlineStr">
        <is>
          <t>Ford Transit 250</t>
        </is>
      </c>
      <c r="E77" s="8" t="inlineStr">
        <is>
          <t>John Davis</t>
        </is>
      </c>
      <c r="F77" s="8" t="inlineStr">
        <is>
          <t>john@valleyplumbingdraingroup.com</t>
        </is>
      </c>
      <c r="G77" s="8" t="inlineStr">
        <is>
          <t>702-555-4266</t>
        </is>
      </c>
      <c r="H77" s="9" t="inlineStr">
        <is>
          <t>DOT12671</t>
        </is>
      </c>
      <c r="I77" s="11" t="n">
        <v>0.233</v>
      </c>
      <c r="J77" s="8" t="inlineStr">
        <is>
          <t>Transit 114°F Electrical Module Overheat Wire Ground Fire Risk</t>
        </is>
      </c>
      <c r="K77" s="9" t="inlineStr">
        <is>
          <t>Warm Prospect</t>
        </is>
      </c>
      <c r="L77" s="12">
        <f>IF(C77&gt;0, 99 + (C77 * 2.5), 0)</f>
        <v/>
      </c>
    </row>
    <row r="78">
      <c r="A78" s="13" t="inlineStr">
        <is>
          <t>First Choice Mechanical Services Inc</t>
        </is>
      </c>
      <c r="B78" s="14" t="inlineStr">
        <is>
          <t>HVAC/Plumbing</t>
        </is>
      </c>
      <c r="C78" s="15" t="n">
        <v>65</v>
      </c>
      <c r="D78" s="13" t="inlineStr">
        <is>
          <t>Chevy Express 2500</t>
        </is>
      </c>
      <c r="E78" s="13" t="inlineStr">
        <is>
          <t>Donald Rodriguez</t>
        </is>
      </c>
      <c r="F78" s="13" t="inlineStr">
        <is>
          <t>donald@firstchoicemechanicalservicesinc.com</t>
        </is>
      </c>
      <c r="G78" s="13" t="inlineStr">
        <is>
          <t>702-555-7043</t>
        </is>
      </c>
      <c r="H78" s="14" t="inlineStr">
        <is>
          <t>DOT31992</t>
        </is>
      </c>
      <c r="I78" s="16" t="n">
        <v>0.228</v>
      </c>
      <c r="J78" s="13" t="inlineStr">
        <is>
          <t>Express Engine Bay Hose Thermal Crack Hazard</t>
        </is>
      </c>
      <c r="K78" s="14" t="inlineStr">
        <is>
          <t>Warm Prospect</t>
        </is>
      </c>
      <c r="L78" s="17">
        <f>IF(C78&gt;0, 99 + (C78 * 2.5), 0)</f>
        <v/>
      </c>
    </row>
    <row r="79">
      <c r="A79" s="8" t="inlineStr">
        <is>
          <t>Mojave Air Conditioning Group</t>
        </is>
      </c>
      <c r="B79" s="9" t="inlineStr">
        <is>
          <t>HVAC/Plumbing</t>
        </is>
      </c>
      <c r="C79" s="10" t="n">
        <v>89</v>
      </c>
      <c r="D79" s="8" t="inlineStr">
        <is>
          <t>Ford Transit 250</t>
        </is>
      </c>
      <c r="E79" s="8" t="inlineStr">
        <is>
          <t>Joshua Gonzalez</t>
        </is>
      </c>
      <c r="F79" s="8" t="inlineStr">
        <is>
          <t>joshua@mojaveairconditioninggroup.com</t>
        </is>
      </c>
      <c r="G79" s="8" t="inlineStr">
        <is>
          <t>702-555-7498</t>
        </is>
      </c>
      <c r="H79" s="9" t="inlineStr">
        <is>
          <t>DOT35995</t>
        </is>
      </c>
      <c r="I79" s="11" t="n">
        <v>0.064</v>
      </c>
      <c r="J79" s="8" t="inlineStr">
        <is>
          <t>Transit 114°F Electrical Module Overheat Wire Ground Fire Risk</t>
        </is>
      </c>
      <c r="K79" s="9" t="inlineStr">
        <is>
          <t>Warm Prospect</t>
        </is>
      </c>
      <c r="L79" s="12">
        <f>IF(C79&gt;0, 99 + (C79 * 2.5), 0)</f>
        <v/>
      </c>
    </row>
    <row r="80">
      <c r="A80" s="13" t="inlineStr">
        <is>
          <t>Clark County HVAC Services Group</t>
        </is>
      </c>
      <c r="B80" s="14" t="inlineStr">
        <is>
          <t>HVAC/Plumbing</t>
        </is>
      </c>
      <c r="C80" s="15" t="n">
        <v>40</v>
      </c>
      <c r="D80" s="13" t="inlineStr">
        <is>
          <t>Chevy Express 2500</t>
        </is>
      </c>
      <c r="E80" s="13" t="inlineStr">
        <is>
          <t>Joshua Johnson</t>
        </is>
      </c>
      <c r="F80" s="13" t="inlineStr">
        <is>
          <t>joshua@clarkcountyhvacservicesgroup.com</t>
        </is>
      </c>
      <c r="G80" s="13" t="inlineStr">
        <is>
          <t>702-555-6688</t>
        </is>
      </c>
      <c r="H80" s="14" t="inlineStr">
        <is>
          <t>DOT79827</t>
        </is>
      </c>
      <c r="I80" s="16" t="n">
        <v>0.173</v>
      </c>
      <c r="J80" s="13" t="inlineStr">
        <is>
          <t>Express Engine Bay Hose Thermal Crack Hazard</t>
        </is>
      </c>
      <c r="K80" s="14" t="inlineStr">
        <is>
          <t>Warm Prospect</t>
        </is>
      </c>
      <c r="L80" s="17">
        <f>IF(C80&gt;0, 99 + (C80 * 2.5), 0)</f>
        <v/>
      </c>
    </row>
    <row r="81">
      <c r="A81" s="8" t="inlineStr">
        <is>
          <t>High Rise Mechanical Services LLC</t>
        </is>
      </c>
      <c r="B81" s="9" t="inlineStr">
        <is>
          <t>HVAC/Plumbing</t>
        </is>
      </c>
      <c r="C81" s="10" t="n">
        <v>117</v>
      </c>
      <c r="D81" s="8" t="inlineStr">
        <is>
          <t>Ford Transit 250</t>
        </is>
      </c>
      <c r="E81" s="8" t="inlineStr">
        <is>
          <t>Steven Brown</t>
        </is>
      </c>
      <c r="F81" s="8" t="inlineStr">
        <is>
          <t>steven@highrisemechanicalservicesllc.com</t>
        </is>
      </c>
      <c r="G81" s="8" t="inlineStr">
        <is>
          <t>702-555-8102</t>
        </is>
      </c>
      <c r="H81" s="9" t="inlineStr">
        <is>
          <t>DOT57472</t>
        </is>
      </c>
      <c r="I81" s="11" t="n">
        <v>0.237</v>
      </c>
      <c r="J81" s="8" t="inlineStr">
        <is>
          <t>Transit 114°F Electrical Module Overheat Wire Ground Fire Risk</t>
        </is>
      </c>
      <c r="K81" s="9" t="inlineStr">
        <is>
          <t>Warm Prospect</t>
        </is>
      </c>
      <c r="L81" s="12">
        <f>IF(C81&gt;0, 99 + (C81 * 2.5), 0)</f>
        <v/>
      </c>
    </row>
    <row r="82">
      <c r="A82" s="13" t="inlineStr">
        <is>
          <t>Red Rock Tours &amp; Transit Inc</t>
        </is>
      </c>
      <c r="B82" s="14" t="inlineStr">
        <is>
          <t>Boutique Transit</t>
        </is>
      </c>
      <c r="C82" s="15" t="n">
        <v>143</v>
      </c>
      <c r="D82" s="13" t="inlineStr">
        <is>
          <t>Ford Transit 350</t>
        </is>
      </c>
      <c r="E82" s="13" t="inlineStr">
        <is>
          <t>Charles Martin</t>
        </is>
      </c>
      <c r="F82" s="13" t="inlineStr">
        <is>
          <t>charles@redrocktourstransitinc.com</t>
        </is>
      </c>
      <c r="G82" s="13" t="inlineStr">
        <is>
          <t>702-555-9817</t>
        </is>
      </c>
      <c r="H82" s="14" t="inlineStr">
        <is>
          <t>DOT73372</t>
        </is>
      </c>
      <c r="I82" s="16" t="n">
        <v>0.184</v>
      </c>
      <c r="J82" s="13" t="inlineStr">
        <is>
          <t>Transit 114°F Electrical Module Overheat Wire Ground Fire Risk</t>
        </is>
      </c>
      <c r="K82" s="14" t="inlineStr">
        <is>
          <t>Audit Run</t>
        </is>
      </c>
      <c r="L82" s="17">
        <f>IF(C82&gt;0, 99 + (C82 * 2.5), 0)</f>
        <v/>
      </c>
    </row>
    <row r="83">
      <c r="A83" s="8" t="inlineStr">
        <is>
          <t>Valley Power Systems Inc</t>
        </is>
      </c>
      <c r="B83" s="9" t="inlineStr">
        <is>
          <t>Electrical Services</t>
        </is>
      </c>
      <c r="C83" s="10" t="n">
        <v>125</v>
      </c>
      <c r="D83" s="8" t="inlineStr">
        <is>
          <t>Ram ProMaster 2500</t>
        </is>
      </c>
      <c r="E83" s="8" t="inlineStr">
        <is>
          <t>Thomas Anderson</t>
        </is>
      </c>
      <c r="F83" s="8" t="inlineStr">
        <is>
          <t>thomas@valleypowersystemsinc.com</t>
        </is>
      </c>
      <c r="G83" s="8" t="inlineStr">
        <is>
          <t>702-555-7209</t>
        </is>
      </c>
      <c r="H83" s="9" t="inlineStr">
        <is>
          <t>DOT54092</t>
        </is>
      </c>
      <c r="I83" s="11" t="n">
        <v>0.049</v>
      </c>
      <c r="J83" s="8" t="inlineStr">
        <is>
          <t>ProMaster Brake Line Rubbing Collision Abrasion Leak</t>
        </is>
      </c>
      <c r="K83" s="9" t="inlineStr">
        <is>
          <t>Warm Prospect</t>
        </is>
      </c>
      <c r="L83" s="12">
        <f>IF(C83&gt;0, 99 + (C83 * 2.5), 0)</f>
        <v/>
      </c>
    </row>
    <row r="84">
      <c r="A84" s="13" t="inlineStr">
        <is>
          <t>First Choice Plumbing &amp; Drain LLC</t>
        </is>
      </c>
      <c r="B84" s="14" t="inlineStr">
        <is>
          <t>HVAC/Plumbing</t>
        </is>
      </c>
      <c r="C84" s="15" t="n">
        <v>97</v>
      </c>
      <c r="D84" s="13" t="inlineStr">
        <is>
          <t>Ford Transit 150</t>
        </is>
      </c>
      <c r="E84" s="13" t="inlineStr">
        <is>
          <t>Charles Martin</t>
        </is>
      </c>
      <c r="F84" s="13" t="inlineStr">
        <is>
          <t>charles@firstchoiceplumbingdrainllc.com</t>
        </is>
      </c>
      <c r="G84" s="13" t="inlineStr">
        <is>
          <t>702-555-5526</t>
        </is>
      </c>
      <c r="H84" s="14" t="inlineStr">
        <is>
          <t>DOT82848</t>
        </is>
      </c>
      <c r="I84" s="16" t="n">
        <v>0.043</v>
      </c>
      <c r="J84" s="13" t="inlineStr">
        <is>
          <t>Transit 114°F Electrical Module Overheat Wire Ground Fire Risk</t>
        </is>
      </c>
      <c r="K84" s="14" t="inlineStr">
        <is>
          <t>Warm Prospect</t>
        </is>
      </c>
      <c r="L84" s="17">
        <f>IF(C84&gt;0, 99 + (C84 * 2.5), 0)</f>
        <v/>
      </c>
    </row>
    <row r="85">
      <c r="A85" s="8" t="inlineStr">
        <is>
          <t>Sunset Mechanical Services LLC</t>
        </is>
      </c>
      <c r="B85" s="9" t="inlineStr">
        <is>
          <t>HVAC/Plumbing</t>
        </is>
      </c>
      <c r="C85" s="10" t="n">
        <v>71</v>
      </c>
      <c r="D85" s="8" t="inlineStr">
        <is>
          <t>GMC Savana 2500</t>
        </is>
      </c>
      <c r="E85" s="8" t="inlineStr">
        <is>
          <t>Steven Thomas</t>
        </is>
      </c>
      <c r="F85" s="8" t="inlineStr">
        <is>
          <t>steven@sunsetmechanicalservicesllc.com</t>
        </is>
      </c>
      <c r="G85" s="8" t="inlineStr">
        <is>
          <t>702-555-8342</t>
        </is>
      </c>
      <c r="H85" s="9" t="inlineStr">
        <is>
          <t>DOT12260</t>
        </is>
      </c>
      <c r="I85" s="11" t="n">
        <v>0.06900000000000001</v>
      </c>
      <c r="J85" s="8" t="inlineStr">
        <is>
          <t>Savana Desert Fuel Line Seal Degradation Failure</t>
        </is>
      </c>
      <c r="K85" s="9" t="inlineStr">
        <is>
          <t>Warm Prospect</t>
        </is>
      </c>
      <c r="L85" s="12">
        <f>IF(C85&gt;0, 99 + (C85 * 2.5), 0)</f>
        <v/>
      </c>
    </row>
    <row r="86">
      <c r="A86" s="13" t="inlineStr">
        <is>
          <t>Clark County Power Systems LLC</t>
        </is>
      </c>
      <c r="B86" s="14" t="inlineStr">
        <is>
          <t>Electrical Services</t>
        </is>
      </c>
      <c r="C86" s="15" t="n">
        <v>131</v>
      </c>
      <c r="D86" s="13" t="inlineStr">
        <is>
          <t>Ram ProMaster 2500</t>
        </is>
      </c>
      <c r="E86" s="13" t="inlineStr">
        <is>
          <t>Andrew Taylor</t>
        </is>
      </c>
      <c r="F86" s="13" t="inlineStr">
        <is>
          <t>andrew@clarkcountypowersystemsllc.com</t>
        </is>
      </c>
      <c r="G86" s="13" t="inlineStr">
        <is>
          <t>702-555-6632</t>
        </is>
      </c>
      <c r="H86" s="14" t="inlineStr">
        <is>
          <t>DOT65771</t>
        </is>
      </c>
      <c r="I86" s="16" t="n">
        <v>0.349</v>
      </c>
      <c r="J86" s="13" t="inlineStr">
        <is>
          <t>ProMaster Brake Line Rubbing Collision Abrasion Leak</t>
        </is>
      </c>
      <c r="K86" s="14" t="inlineStr">
        <is>
          <t>Audit Run</t>
        </is>
      </c>
      <c r="L86" s="17">
        <f>IF(C86&gt;0, 99 + (C86 * 2.5), 0)</f>
        <v/>
      </c>
    </row>
    <row r="87">
      <c r="A87" s="8" t="inlineStr">
        <is>
          <t>Valley Electric Pros LLC</t>
        </is>
      </c>
      <c r="B87" s="9" t="inlineStr">
        <is>
          <t>Electrical Services</t>
        </is>
      </c>
      <c r="C87" s="10" t="n">
        <v>88</v>
      </c>
      <c r="D87" s="8" t="inlineStr">
        <is>
          <t>Ram ProMaster 2500</t>
        </is>
      </c>
      <c r="E87" s="8" t="inlineStr">
        <is>
          <t>Charles Davis</t>
        </is>
      </c>
      <c r="F87" s="8" t="inlineStr">
        <is>
          <t>charles@valleyelectricprosllc.com</t>
        </is>
      </c>
      <c r="G87" s="8" t="inlineStr">
        <is>
          <t>702-555-2976</t>
        </is>
      </c>
      <c r="H87" s="9" t="inlineStr">
        <is>
          <t>DOT35242</t>
        </is>
      </c>
      <c r="I87" s="11" t="n">
        <v>0.138</v>
      </c>
      <c r="J87" s="8" t="inlineStr">
        <is>
          <t>ProMaster Brake Line Rubbing Collision Abrasion Leak</t>
        </is>
      </c>
      <c r="K87" s="9" t="inlineStr">
        <is>
          <t>Audit Run</t>
        </is>
      </c>
      <c r="L87" s="12">
        <f>IF(C87&gt;0, 99 + (C87 * 2.5), 0)</f>
        <v/>
      </c>
    </row>
    <row r="88">
      <c r="A88" s="13" t="inlineStr">
        <is>
          <t>Red Rock Airport Express Inc</t>
        </is>
      </c>
      <c r="B88" s="14" t="inlineStr">
        <is>
          <t>Boutique Transit</t>
        </is>
      </c>
      <c r="C88" s="15" t="n">
        <v>133</v>
      </c>
      <c r="D88" s="13" t="inlineStr">
        <is>
          <t>Ford Transit 350</t>
        </is>
      </c>
      <c r="E88" s="13" t="inlineStr">
        <is>
          <t>Charles Jackson</t>
        </is>
      </c>
      <c r="F88" s="13" t="inlineStr">
        <is>
          <t>charles@redrockairportexpressinc.com</t>
        </is>
      </c>
      <c r="G88" s="13" t="inlineStr">
        <is>
          <t>702-555-9595</t>
        </is>
      </c>
      <c r="H88" s="14" t="inlineStr">
        <is>
          <t>DOT88222</t>
        </is>
      </c>
      <c r="I88" s="16" t="n">
        <v>0.128</v>
      </c>
      <c r="J88" s="13" t="inlineStr">
        <is>
          <t>Transit 114°F Electrical Module Overheat Wire Ground Fire Risk</t>
        </is>
      </c>
      <c r="K88" s="14" t="inlineStr">
        <is>
          <t>Warm Prospect</t>
        </is>
      </c>
      <c r="L88" s="17">
        <f>IF(C88&gt;0, 99 + (C88 * 2.5), 0)</f>
        <v/>
      </c>
    </row>
    <row r="89">
      <c r="A89" s="8" t="inlineStr">
        <is>
          <t>Mojave Plumbing &amp; Drain LLC</t>
        </is>
      </c>
      <c r="B89" s="9" t="inlineStr">
        <is>
          <t>HVAC/Plumbing</t>
        </is>
      </c>
      <c r="C89" s="10" t="n">
        <v>87</v>
      </c>
      <c r="D89" s="8" t="inlineStr">
        <is>
          <t>Ford Transit 350</t>
        </is>
      </c>
      <c r="E89" s="8" t="inlineStr">
        <is>
          <t>John Moore</t>
        </is>
      </c>
      <c r="F89" s="8" t="inlineStr">
        <is>
          <t>john@mojaveplumbingdrainllc.com</t>
        </is>
      </c>
      <c r="G89" s="8" t="inlineStr">
        <is>
          <t>702-555-3073</t>
        </is>
      </c>
      <c r="H89" s="9" t="inlineStr">
        <is>
          <t>DOT45954</t>
        </is>
      </c>
      <c r="I89" s="11" t="n">
        <v>0.054</v>
      </c>
      <c r="J89" s="8" t="inlineStr">
        <is>
          <t>Transit 114°F Electrical Module Overheat Wire Ground Fire Risk</t>
        </is>
      </c>
      <c r="K89" s="9" t="inlineStr">
        <is>
          <t>Warm Prospect</t>
        </is>
      </c>
      <c r="L89" s="12">
        <f>IF(C89&gt;0, 99 + (C89 * 2.5), 0)</f>
        <v/>
      </c>
    </row>
    <row r="90">
      <c r="A90" s="13" t="inlineStr">
        <is>
          <t>Mojave Charter Buses Inc</t>
        </is>
      </c>
      <c r="B90" s="14" t="inlineStr">
        <is>
          <t>Boutique Transit</t>
        </is>
      </c>
      <c r="C90" s="15" t="n">
        <v>135</v>
      </c>
      <c r="D90" s="13" t="inlineStr">
        <is>
          <t>Ford Transit 350</t>
        </is>
      </c>
      <c r="E90" s="13" t="inlineStr">
        <is>
          <t>Robert Smith</t>
        </is>
      </c>
      <c r="F90" s="13" t="inlineStr">
        <is>
          <t>robert@mojavecharterbusesinc.com</t>
        </is>
      </c>
      <c r="G90" s="13" t="inlineStr">
        <is>
          <t>702-555-5658</t>
        </is>
      </c>
      <c r="H90" s="14" t="inlineStr">
        <is>
          <t>DOT71524</t>
        </is>
      </c>
      <c r="I90" s="16" t="n">
        <v>0.188</v>
      </c>
      <c r="J90" s="13" t="inlineStr">
        <is>
          <t>Transit 114°F Electrical Module Overheat Wire Ground Fire Risk</t>
        </is>
      </c>
      <c r="K90" s="14" t="inlineStr">
        <is>
          <t>Warm Prospect</t>
        </is>
      </c>
      <c r="L90" s="17">
        <f>IF(C90&gt;0, 99 + (C90 * 2.5), 0)</f>
        <v/>
      </c>
    </row>
    <row r="91">
      <c r="A91" s="8" t="inlineStr">
        <is>
          <t>Silver State HVAC Services LLC</t>
        </is>
      </c>
      <c r="B91" s="9" t="inlineStr">
        <is>
          <t>HVAC/Plumbing</t>
        </is>
      </c>
      <c r="C91" s="10" t="n">
        <v>26</v>
      </c>
      <c r="D91" s="8" t="inlineStr">
        <is>
          <t>Ford Transit 250</t>
        </is>
      </c>
      <c r="E91" s="8" t="inlineStr">
        <is>
          <t>Anthony Thomas</t>
        </is>
      </c>
      <c r="F91" s="8" t="inlineStr">
        <is>
          <t>anthony@silverstatehvacservicesllc.com</t>
        </is>
      </c>
      <c r="G91" s="8" t="inlineStr">
        <is>
          <t>702-555-2213</t>
        </is>
      </c>
      <c r="H91" s="9" t="inlineStr">
        <is>
          <t>DOT85631</t>
        </is>
      </c>
      <c r="I91" s="11" t="n">
        <v>0.235</v>
      </c>
      <c r="J91" s="8" t="inlineStr">
        <is>
          <t>Transit 114°F Electrical Module Overheat Wire Ground Fire Risk</t>
        </is>
      </c>
      <c r="K91" s="9" t="inlineStr">
        <is>
          <t>Warm Prospect</t>
        </is>
      </c>
      <c r="L91" s="12">
        <f>IF(C91&gt;0, 99 + (C91 * 2.5), 0)</f>
        <v/>
      </c>
    </row>
    <row r="92">
      <c r="A92" s="13" t="inlineStr">
        <is>
          <t>Red Rock Plumbing Experts LLC</t>
        </is>
      </c>
      <c r="B92" s="14" t="inlineStr">
        <is>
          <t>HVAC/Plumbing</t>
        </is>
      </c>
      <c r="C92" s="15" t="n">
        <v>73</v>
      </c>
      <c r="D92" s="13" t="inlineStr">
        <is>
          <t>Ford Transit 250</t>
        </is>
      </c>
      <c r="E92" s="13" t="inlineStr">
        <is>
          <t>Robert Moore</t>
        </is>
      </c>
      <c r="F92" s="13" t="inlineStr">
        <is>
          <t>robert@redrockplumbingexpertsllc.com</t>
        </is>
      </c>
      <c r="G92" s="13" t="inlineStr">
        <is>
          <t>702-555-7818</t>
        </is>
      </c>
      <c r="H92" s="14" t="inlineStr">
        <is>
          <t>DOT89471</t>
        </is>
      </c>
      <c r="I92" s="16" t="n">
        <v>0.225</v>
      </c>
      <c r="J92" s="13" t="inlineStr">
        <is>
          <t>Transit 114°F Electrical Module Overheat Wire Ground Fire Risk</t>
        </is>
      </c>
      <c r="K92" s="14" t="inlineStr">
        <is>
          <t>Audit Run</t>
        </is>
      </c>
      <c r="L92" s="17">
        <f>IF(C92&gt;0, 99 + (C92 * 2.5), 0)</f>
        <v/>
      </c>
    </row>
    <row r="93">
      <c r="A93" s="8" t="inlineStr">
        <is>
          <t>Henderson Plumbing Experts LLC</t>
        </is>
      </c>
      <c r="B93" s="9" t="inlineStr">
        <is>
          <t>HVAC/Plumbing</t>
        </is>
      </c>
      <c r="C93" s="10" t="n">
        <v>123</v>
      </c>
      <c r="D93" s="8" t="inlineStr">
        <is>
          <t>GMC Savana 2500</t>
        </is>
      </c>
      <c r="E93" s="8" t="inlineStr">
        <is>
          <t>Christopher Jackson</t>
        </is>
      </c>
      <c r="F93" s="8" t="inlineStr">
        <is>
          <t>christopher@hendersonplumbingexpertsllc.com</t>
        </is>
      </c>
      <c r="G93" s="8" t="inlineStr">
        <is>
          <t>702-555-8025</t>
        </is>
      </c>
      <c r="H93" s="9" t="inlineStr">
        <is>
          <t>DOT50026</t>
        </is>
      </c>
      <c r="I93" s="11" t="n">
        <v>0.216</v>
      </c>
      <c r="J93" s="8" t="inlineStr">
        <is>
          <t>Savana Desert Fuel Line Seal Degradation Failure</t>
        </is>
      </c>
      <c r="K93" s="9" t="inlineStr">
        <is>
          <t>Warm Prospect</t>
        </is>
      </c>
      <c r="L93" s="12">
        <f>IF(C93&gt;0, 99 + (C93 * 2.5), 0)</f>
        <v/>
      </c>
    </row>
    <row r="94">
      <c r="A94" s="13" t="inlineStr">
        <is>
          <t>Clark County Shuttles Inc</t>
        </is>
      </c>
      <c r="B94" s="14" t="inlineStr">
        <is>
          <t>Boutique Transit</t>
        </is>
      </c>
      <c r="C94" s="15" t="n">
        <v>64</v>
      </c>
      <c r="D94" s="13" t="inlineStr">
        <is>
          <t>Ford Transit 350</t>
        </is>
      </c>
      <c r="E94" s="13" t="inlineStr">
        <is>
          <t>Charles Williams</t>
        </is>
      </c>
      <c r="F94" s="13" t="inlineStr">
        <is>
          <t>charles@clarkcountyshuttlesinc.com</t>
        </is>
      </c>
      <c r="G94" s="13" t="inlineStr">
        <is>
          <t>702-555-3573</t>
        </is>
      </c>
      <c r="H94" s="14" t="inlineStr">
        <is>
          <t>DOT41439</t>
        </is>
      </c>
      <c r="I94" s="16" t="n">
        <v>0.094</v>
      </c>
      <c r="J94" s="13" t="inlineStr">
        <is>
          <t>Transit 114°F Electrical Module Overheat Wire Ground Fire Risk</t>
        </is>
      </c>
      <c r="K94" s="14" t="inlineStr">
        <is>
          <t>Warm Prospect</t>
        </is>
      </c>
      <c r="L94" s="17">
        <f>IF(C94&gt;0, 99 + (C94 * 2.5), 0)</f>
        <v/>
      </c>
    </row>
    <row r="95">
      <c r="A95" s="8" t="inlineStr">
        <is>
          <t>Silver State Comfort Heating LLC</t>
        </is>
      </c>
      <c r="B95" s="9" t="inlineStr">
        <is>
          <t>HVAC/Plumbing</t>
        </is>
      </c>
      <c r="C95" s="10" t="n">
        <v>130</v>
      </c>
      <c r="D95" s="8" t="inlineStr">
        <is>
          <t>Chevy Express 2500</t>
        </is>
      </c>
      <c r="E95" s="8" t="inlineStr">
        <is>
          <t>Christopher Johnson</t>
        </is>
      </c>
      <c r="F95" s="8" t="inlineStr">
        <is>
          <t>christopher@silverstatecomfortheatingllc.com</t>
        </is>
      </c>
      <c r="G95" s="8" t="inlineStr">
        <is>
          <t>702-555-4792</t>
        </is>
      </c>
      <c r="H95" s="9" t="inlineStr">
        <is>
          <t>DOT47762</t>
        </is>
      </c>
      <c r="I95" s="11" t="n">
        <v>0.259</v>
      </c>
      <c r="J95" s="8" t="inlineStr">
        <is>
          <t>Express Engine Bay Hose Thermal Crack Hazard</t>
        </is>
      </c>
      <c r="K95" s="9" t="inlineStr">
        <is>
          <t>Warm Prospect</t>
        </is>
      </c>
      <c r="L95" s="12">
        <f>IF(C95&gt;0, 99 + (C95 * 2.5), 0)</f>
        <v/>
      </c>
    </row>
    <row r="96">
      <c r="A96" s="13" t="inlineStr">
        <is>
          <t>Vegas Valley Plumbing &amp; Drain LLC</t>
        </is>
      </c>
      <c r="B96" s="14" t="inlineStr">
        <is>
          <t>HVAC/Plumbing</t>
        </is>
      </c>
      <c r="C96" s="15" t="n">
        <v>60</v>
      </c>
      <c r="D96" s="13" t="inlineStr">
        <is>
          <t>Chevy Express 2500</t>
        </is>
      </c>
      <c r="E96" s="13" t="inlineStr">
        <is>
          <t>Mark Brown</t>
        </is>
      </c>
      <c r="F96" s="13" t="inlineStr">
        <is>
          <t>mark@vegasvalleyplumbingdrainllc.com</t>
        </is>
      </c>
      <c r="G96" s="13" t="inlineStr">
        <is>
          <t>702-555-9922</t>
        </is>
      </c>
      <c r="H96" s="14" t="inlineStr">
        <is>
          <t>DOT39466</t>
        </is>
      </c>
      <c r="I96" s="16" t="n">
        <v>0.241</v>
      </c>
      <c r="J96" s="13" t="inlineStr">
        <is>
          <t>Express Engine Bay Hose Thermal Crack Hazard</t>
        </is>
      </c>
      <c r="K96" s="14" t="inlineStr">
        <is>
          <t>Warm Prospect</t>
        </is>
      </c>
      <c r="L96" s="17">
        <f>IF(C96&gt;0, 99 + (C96 * 2.5), 0)</f>
        <v/>
      </c>
    </row>
    <row r="97">
      <c r="A97" s="8" t="inlineStr">
        <is>
          <t>Apex Air Conditioning Inc</t>
        </is>
      </c>
      <c r="B97" s="9" t="inlineStr">
        <is>
          <t>HVAC/Plumbing</t>
        </is>
      </c>
      <c r="C97" s="10" t="n">
        <v>83</v>
      </c>
      <c r="D97" s="8" t="inlineStr">
        <is>
          <t>Ford Transit 150</t>
        </is>
      </c>
      <c r="E97" s="8" t="inlineStr">
        <is>
          <t>Donald Brown</t>
        </is>
      </c>
      <c r="F97" s="8" t="inlineStr">
        <is>
          <t>donald@apexairconditioninginc.com</t>
        </is>
      </c>
      <c r="G97" s="8" t="inlineStr">
        <is>
          <t>702-555-8679</t>
        </is>
      </c>
      <c r="H97" s="9" t="inlineStr">
        <is>
          <t>DOT49857</t>
        </is>
      </c>
      <c r="I97" s="11" t="n">
        <v>0.257</v>
      </c>
      <c r="J97" s="8" t="inlineStr">
        <is>
          <t>Transit 114°F Electrical Module Overheat Wire Ground Fire Risk</t>
        </is>
      </c>
      <c r="K97" s="9" t="inlineStr">
        <is>
          <t>Warm Prospect</t>
        </is>
      </c>
      <c r="L97" s="12">
        <f>IF(C97&gt;0, 99 + (C97 * 2.5), 0)</f>
        <v/>
      </c>
    </row>
    <row r="98">
      <c r="A98" s="13" t="inlineStr">
        <is>
          <t>High Rise Tours &amp; Transit LLC</t>
        </is>
      </c>
      <c r="B98" s="14" t="inlineStr">
        <is>
          <t>Boutique Transit</t>
        </is>
      </c>
      <c r="C98" s="15" t="n">
        <v>20</v>
      </c>
      <c r="D98" s="13" t="inlineStr">
        <is>
          <t>Mercedes-Benz Sprinter 2500</t>
        </is>
      </c>
      <c r="E98" s="13" t="inlineStr">
        <is>
          <t>Mark Hernandez</t>
        </is>
      </c>
      <c r="F98" s="13" t="inlineStr">
        <is>
          <t>mark@highrisetourstransitllc.com</t>
        </is>
      </c>
      <c r="G98" s="13" t="inlineStr">
        <is>
          <t>702-555-5102</t>
        </is>
      </c>
      <c r="H98" s="14" t="inlineStr">
        <is>
          <t>DOT13390</t>
        </is>
      </c>
      <c r="I98" s="16" t="n">
        <v>0.068</v>
      </c>
      <c r="J98" s="13" t="inlineStr">
        <is>
          <t>Sprinter AC Comp Condensation Drain Backup Wiring Short</t>
        </is>
      </c>
      <c r="K98" s="14" t="inlineStr">
        <is>
          <t>Audit Run</t>
        </is>
      </c>
      <c r="L98" s="17">
        <f>IF(C98&gt;0, 99 + (C98 * 2.5), 0)</f>
        <v/>
      </c>
    </row>
    <row r="99">
      <c r="A99" s="8" t="inlineStr">
        <is>
          <t>Silver State Charter Buses LLC</t>
        </is>
      </c>
      <c r="B99" s="9" t="inlineStr">
        <is>
          <t>Boutique Transit</t>
        </is>
      </c>
      <c r="C99" s="10" t="n">
        <v>20</v>
      </c>
      <c r="D99" s="8" t="inlineStr">
        <is>
          <t>Ford Transit 350</t>
        </is>
      </c>
      <c r="E99" s="8" t="inlineStr">
        <is>
          <t>William Thomas</t>
        </is>
      </c>
      <c r="F99" s="8" t="inlineStr">
        <is>
          <t>william@silverstatecharterbusesllc.com</t>
        </is>
      </c>
      <c r="G99" s="8" t="inlineStr">
        <is>
          <t>702-555-9502</t>
        </is>
      </c>
      <c r="H99" s="9" t="inlineStr">
        <is>
          <t>DOT95394</t>
        </is>
      </c>
      <c r="I99" s="11" t="n">
        <v>0.177</v>
      </c>
      <c r="J99" s="8" t="inlineStr">
        <is>
          <t>Transit 114°F Electrical Module Overheat Wire Ground Fire Risk</t>
        </is>
      </c>
      <c r="K99" s="9" t="inlineStr">
        <is>
          <t>Warm Prospect</t>
        </is>
      </c>
      <c r="L99" s="12">
        <f>IF(C99&gt;0, 99 + (C99 * 2.5), 0)</f>
        <v/>
      </c>
    </row>
    <row r="100">
      <c r="A100" s="13" t="inlineStr">
        <is>
          <t>Las Vegas Comfort Heating Group</t>
        </is>
      </c>
      <c r="B100" s="14" t="inlineStr">
        <is>
          <t>HVAC/Plumbing</t>
        </is>
      </c>
      <c r="C100" s="15" t="n">
        <v>33</v>
      </c>
      <c r="D100" s="13" t="inlineStr">
        <is>
          <t>GMC Savana 2500</t>
        </is>
      </c>
      <c r="E100" s="13" t="inlineStr">
        <is>
          <t>Steven Lopez</t>
        </is>
      </c>
      <c r="F100" s="13" t="inlineStr">
        <is>
          <t>steven@lasvegascomfortheatinggroup.com</t>
        </is>
      </c>
      <c r="G100" s="13" t="inlineStr">
        <is>
          <t>702-555-7690</t>
        </is>
      </c>
      <c r="H100" s="14" t="inlineStr">
        <is>
          <t>DOT53687</t>
        </is>
      </c>
      <c r="I100" s="16" t="n">
        <v>0.14</v>
      </c>
      <c r="J100" s="13" t="inlineStr">
        <is>
          <t>Savana Desert Fuel Line Seal Degradation Failure</t>
        </is>
      </c>
      <c r="K100" s="14" t="inlineStr">
        <is>
          <t>Warm Prospect</t>
        </is>
      </c>
      <c r="L100" s="17">
        <f>IF(C100&gt;0, 99 + (C100 * 2.5), 0)</f>
        <v/>
      </c>
    </row>
    <row r="101">
      <c r="A101" s="8" t="inlineStr">
        <is>
          <t>Valley Comfort Heating Group</t>
        </is>
      </c>
      <c r="B101" s="9" t="inlineStr">
        <is>
          <t>HVAC/Plumbing</t>
        </is>
      </c>
      <c r="C101" s="10" t="n">
        <v>83</v>
      </c>
      <c r="D101" s="8" t="inlineStr">
        <is>
          <t>GMC Savana 2500</t>
        </is>
      </c>
      <c r="E101" s="8" t="inlineStr">
        <is>
          <t>Anthony Moore</t>
        </is>
      </c>
      <c r="F101" s="8" t="inlineStr">
        <is>
          <t>anthony@valleycomfortheatinggroup.com</t>
        </is>
      </c>
      <c r="G101" s="8" t="inlineStr">
        <is>
          <t>702-555-1601</t>
        </is>
      </c>
      <c r="H101" s="9" t="inlineStr">
        <is>
          <t>DOT69614</t>
        </is>
      </c>
      <c r="I101" s="11" t="n">
        <v>0.067</v>
      </c>
      <c r="J101" s="8" t="inlineStr">
        <is>
          <t>Savana Desert Fuel Line Seal Degradation Failure</t>
        </is>
      </c>
      <c r="K101" s="9" t="inlineStr">
        <is>
          <t>Warm Prospect</t>
        </is>
      </c>
      <c r="L101" s="12">
        <f>IF(C101&gt;0, 99 + (C101 * 2.5), 0)</f>
        <v/>
      </c>
    </row>
    <row r="102">
      <c r="A102" s="13" t="inlineStr">
        <is>
          <t>Apex Wiring Solutions Group</t>
        </is>
      </c>
      <c r="B102" s="14" t="inlineStr">
        <is>
          <t>Electrical Services</t>
        </is>
      </c>
      <c r="C102" s="15" t="n">
        <v>148</v>
      </c>
      <c r="D102" s="13" t="inlineStr">
        <is>
          <t>Chevy Express 2500</t>
        </is>
      </c>
      <c r="E102" s="13" t="inlineStr">
        <is>
          <t>Donald Wilson</t>
        </is>
      </c>
      <c r="F102" s="13" t="inlineStr">
        <is>
          <t>donald@apexwiringsolutionsgroup.com</t>
        </is>
      </c>
      <c r="G102" s="13" t="inlineStr">
        <is>
          <t>702-555-1888</t>
        </is>
      </c>
      <c r="H102" s="14" t="inlineStr">
        <is>
          <t>DOT34586</t>
        </is>
      </c>
      <c r="I102" s="16" t="n">
        <v>0.201</v>
      </c>
      <c r="J102" s="13" t="inlineStr">
        <is>
          <t>Express Engine Bay Hose Thermal Crack Hazard</t>
        </is>
      </c>
      <c r="K102" s="14" t="inlineStr">
        <is>
          <t>Audit Run</t>
        </is>
      </c>
      <c r="L102" s="17">
        <f>IF(C102&gt;0, 99 + (C102 * 2.5), 0)</f>
        <v/>
      </c>
    </row>
    <row r="103">
      <c r="A103" s="8" t="inlineStr">
        <is>
          <t>Vegas Valley Wiring Solutions Inc</t>
        </is>
      </c>
      <c r="B103" s="9" t="inlineStr">
        <is>
          <t>Electrical Services</t>
        </is>
      </c>
      <c r="C103" s="10" t="n">
        <v>78</v>
      </c>
      <c r="D103" s="8" t="inlineStr">
        <is>
          <t>Chevy Express 3500</t>
        </is>
      </c>
      <c r="E103" s="8" t="inlineStr">
        <is>
          <t>Andrew Jones</t>
        </is>
      </c>
      <c r="F103" s="8" t="inlineStr">
        <is>
          <t>andrew@vegasvalleywiringsolutionsinc.com</t>
        </is>
      </c>
      <c r="G103" s="8" t="inlineStr">
        <is>
          <t>702-555-5719</t>
        </is>
      </c>
      <c r="H103" s="9" t="inlineStr">
        <is>
          <t>DOT67424</t>
        </is>
      </c>
      <c r="I103" s="11" t="n">
        <v>0.313</v>
      </c>
      <c r="J103" s="8" t="inlineStr">
        <is>
          <t>Express Engine Bay Hose Thermal Crack Hazard</t>
        </is>
      </c>
      <c r="K103" s="9" t="inlineStr">
        <is>
          <t>Warm Prospect</t>
        </is>
      </c>
      <c r="L103" s="12">
        <f>IF(C103&gt;0, 99 + (C103 * 2.5), 0)</f>
        <v/>
      </c>
    </row>
    <row r="104">
      <c r="A104" s="13" t="inlineStr">
        <is>
          <t>Silver State Mechanical Services Group</t>
        </is>
      </c>
      <c r="B104" s="14" t="inlineStr">
        <is>
          <t>HVAC/Plumbing</t>
        </is>
      </c>
      <c r="C104" s="15" t="n">
        <v>50</v>
      </c>
      <c r="D104" s="13" t="inlineStr">
        <is>
          <t>Ford Transit 350</t>
        </is>
      </c>
      <c r="E104" s="13" t="inlineStr">
        <is>
          <t>Christopher Moore</t>
        </is>
      </c>
      <c r="F104" s="13" t="inlineStr">
        <is>
          <t>christopher@silverstatemechanicalservicesgroup.com</t>
        </is>
      </c>
      <c r="G104" s="13" t="inlineStr">
        <is>
          <t>702-555-1224</t>
        </is>
      </c>
      <c r="H104" s="14" t="inlineStr">
        <is>
          <t>DOT82384</t>
        </is>
      </c>
      <c r="I104" s="16" t="n">
        <v>0.166</v>
      </c>
      <c r="J104" s="13" t="inlineStr">
        <is>
          <t>Transit 114°F Electrical Module Overheat Wire Ground Fire Risk</t>
        </is>
      </c>
      <c r="K104" s="14" t="inlineStr">
        <is>
          <t>Warm Prospect</t>
        </is>
      </c>
      <c r="L104" s="17">
        <f>IF(C104&gt;0, 99 + (C104 * 2.5), 0)</f>
        <v/>
      </c>
    </row>
    <row r="105">
      <c r="A105" s="8" t="inlineStr">
        <is>
          <t>First Choice Air Conditioning Group</t>
        </is>
      </c>
      <c r="B105" s="9" t="inlineStr">
        <is>
          <t>HVAC/Plumbing</t>
        </is>
      </c>
      <c r="C105" s="10" t="n">
        <v>137</v>
      </c>
      <c r="D105" s="8" t="inlineStr">
        <is>
          <t>Ford Transit 350</t>
        </is>
      </c>
      <c r="E105" s="8" t="inlineStr">
        <is>
          <t>Christopher Taylor</t>
        </is>
      </c>
      <c r="F105" s="8" t="inlineStr">
        <is>
          <t>christopher@firstchoiceairconditioninggroup.com</t>
        </is>
      </c>
      <c r="G105" s="8" t="inlineStr">
        <is>
          <t>702-555-5479</t>
        </is>
      </c>
      <c r="H105" s="9" t="inlineStr">
        <is>
          <t>DOT64459</t>
        </is>
      </c>
      <c r="I105" s="11" t="n">
        <v>0.299</v>
      </c>
      <c r="J105" s="8" t="inlineStr">
        <is>
          <t>Transit 114°F Electrical Module Overheat Wire Ground Fire Risk</t>
        </is>
      </c>
      <c r="K105" s="9" t="inlineStr">
        <is>
          <t>Warm Prospect</t>
        </is>
      </c>
      <c r="L105" s="12">
        <f>IF(C105&gt;0, 99 + (C105 * 2.5), 0)</f>
        <v/>
      </c>
    </row>
    <row r="106">
      <c r="A106" s="13" t="inlineStr">
        <is>
          <t>First Choice Plumbing Experts Inc</t>
        </is>
      </c>
      <c r="B106" s="14" t="inlineStr">
        <is>
          <t>HVAC/Plumbing</t>
        </is>
      </c>
      <c r="C106" s="15" t="n">
        <v>58</v>
      </c>
      <c r="D106" s="13" t="inlineStr">
        <is>
          <t>GMC Savana 2500</t>
        </is>
      </c>
      <c r="E106" s="13" t="inlineStr">
        <is>
          <t>Kenneth Taylor</t>
        </is>
      </c>
      <c r="F106" s="13" t="inlineStr">
        <is>
          <t>kenneth@firstchoiceplumbingexpertsinc.com</t>
        </is>
      </c>
      <c r="G106" s="13" t="inlineStr">
        <is>
          <t>702-555-3236</t>
        </is>
      </c>
      <c r="H106" s="14" t="inlineStr">
        <is>
          <t>DOT19150</t>
        </is>
      </c>
      <c r="I106" s="16" t="n">
        <v>0.126</v>
      </c>
      <c r="J106" s="13" t="inlineStr">
        <is>
          <t>Savana Desert Fuel Line Seal Degradation Failure</t>
        </is>
      </c>
      <c r="K106" s="14" t="inlineStr">
        <is>
          <t>Warm Prospect</t>
        </is>
      </c>
      <c r="L106" s="17">
        <f>IF(C106&gt;0, 99 + (C106 * 2.5), 0)</f>
        <v/>
      </c>
    </row>
    <row r="107">
      <c r="A107" s="8" t="inlineStr">
        <is>
          <t>Spring Valley Lighting &amp; Power LLC</t>
        </is>
      </c>
      <c r="B107" s="9" t="inlineStr">
        <is>
          <t>Electrical Services</t>
        </is>
      </c>
      <c r="C107" s="10" t="n">
        <v>82</v>
      </c>
      <c r="D107" s="8" t="inlineStr">
        <is>
          <t>Chevy Express 2500</t>
        </is>
      </c>
      <c r="E107" s="8" t="inlineStr">
        <is>
          <t>Christopher Jackson</t>
        </is>
      </c>
      <c r="F107" s="8" t="inlineStr">
        <is>
          <t>christopher@springvalleylightingpowerllc.com</t>
        </is>
      </c>
      <c r="G107" s="8" t="inlineStr">
        <is>
          <t>702-555-9022</t>
        </is>
      </c>
      <c r="H107" s="9" t="inlineStr">
        <is>
          <t>DOT29476</t>
        </is>
      </c>
      <c r="I107" s="11" t="n">
        <v>0.178</v>
      </c>
      <c r="J107" s="8" t="inlineStr">
        <is>
          <t>Express Engine Bay Hose Thermal Crack Hazard</t>
        </is>
      </c>
      <c r="K107" s="9" t="inlineStr">
        <is>
          <t>Warm Prospect</t>
        </is>
      </c>
      <c r="L107" s="12">
        <f>IF(C107&gt;0, 99 + (C107 * 2.5), 0)</f>
        <v/>
      </c>
    </row>
    <row r="108">
      <c r="A108" s="13" t="inlineStr">
        <is>
          <t>Valley Lighting &amp; Power Group</t>
        </is>
      </c>
      <c r="B108" s="14" t="inlineStr">
        <is>
          <t>Electrical Services</t>
        </is>
      </c>
      <c r="C108" s="15" t="n">
        <v>126</v>
      </c>
      <c r="D108" s="13" t="inlineStr">
        <is>
          <t>Ram ProMaster 1500</t>
        </is>
      </c>
      <c r="E108" s="13" t="inlineStr">
        <is>
          <t>Daniel Miller</t>
        </is>
      </c>
      <c r="F108" s="13" t="inlineStr">
        <is>
          <t>daniel@valleylightingpowergroup.com</t>
        </is>
      </c>
      <c r="G108" s="13" t="inlineStr">
        <is>
          <t>702-555-4912</t>
        </is>
      </c>
      <c r="H108" s="14" t="inlineStr">
        <is>
          <t>DOT84946</t>
        </is>
      </c>
      <c r="I108" s="16" t="n">
        <v>0.159</v>
      </c>
      <c r="J108" s="13" t="inlineStr">
        <is>
          <t>ProMaster Brake Line Rubbing Collision Abrasion Leak</t>
        </is>
      </c>
      <c r="K108" s="14" t="inlineStr">
        <is>
          <t>Warm Prospect</t>
        </is>
      </c>
      <c r="L108" s="17">
        <f>IF(C108&gt;0, 99 + (C108 * 2.5), 0)</f>
        <v/>
      </c>
    </row>
    <row r="109">
      <c r="A109" s="8" t="inlineStr">
        <is>
          <t>Valley Mechanical Services LLC</t>
        </is>
      </c>
      <c r="B109" s="9" t="inlineStr">
        <is>
          <t>HVAC/Plumbing</t>
        </is>
      </c>
      <c r="C109" s="10" t="n">
        <v>108</v>
      </c>
      <c r="D109" s="8" t="inlineStr">
        <is>
          <t>GMC Savana 2500</t>
        </is>
      </c>
      <c r="E109" s="8" t="inlineStr">
        <is>
          <t>David Thomas</t>
        </is>
      </c>
      <c r="F109" s="8" t="inlineStr">
        <is>
          <t>david@valleymechanicalservicesllc.com</t>
        </is>
      </c>
      <c r="G109" s="8" t="inlineStr">
        <is>
          <t>702-555-1606</t>
        </is>
      </c>
      <c r="H109" s="9" t="inlineStr">
        <is>
          <t>DOT26547</t>
        </is>
      </c>
      <c r="I109" s="11" t="n">
        <v>0.196</v>
      </c>
      <c r="J109" s="8" t="inlineStr">
        <is>
          <t>Savana Desert Fuel Line Seal Degradation Failure</t>
        </is>
      </c>
      <c r="K109" s="9" t="inlineStr">
        <is>
          <t>Audit Run</t>
        </is>
      </c>
      <c r="L109" s="12">
        <f>IF(C109&gt;0, 99 + (C109 * 2.5), 0)</f>
        <v/>
      </c>
    </row>
    <row r="110">
      <c r="A110" s="13" t="inlineStr">
        <is>
          <t>Summerlin Electric &amp; Solar LLC</t>
        </is>
      </c>
      <c r="B110" s="14" t="inlineStr">
        <is>
          <t>Electrical Services</t>
        </is>
      </c>
      <c r="C110" s="15" t="n">
        <v>144</v>
      </c>
      <c r="D110" s="13" t="inlineStr">
        <is>
          <t>Chevy Express 2500</t>
        </is>
      </c>
      <c r="E110" s="13" t="inlineStr">
        <is>
          <t>Donald Smith</t>
        </is>
      </c>
      <c r="F110" s="13" t="inlineStr">
        <is>
          <t>donald@summerlinelectricsolarllc.com</t>
        </is>
      </c>
      <c r="G110" s="13" t="inlineStr">
        <is>
          <t>702-555-3361</t>
        </is>
      </c>
      <c r="H110" s="14" t="inlineStr">
        <is>
          <t>DOT63736</t>
        </is>
      </c>
      <c r="I110" s="16" t="n">
        <v>0.31</v>
      </c>
      <c r="J110" s="13" t="inlineStr">
        <is>
          <t>Express Engine Bay Hose Thermal Crack Hazard</t>
        </is>
      </c>
      <c r="K110" s="14" t="inlineStr">
        <is>
          <t>Warm Prospect</t>
        </is>
      </c>
      <c r="L110" s="17">
        <f>IF(C110&gt;0, 99 + (C110 * 2.5), 0)</f>
        <v/>
      </c>
    </row>
    <row r="111">
      <c r="A111" s="8" t="inlineStr">
        <is>
          <t>First Choice HVAC Services LLC</t>
        </is>
      </c>
      <c r="B111" s="9" t="inlineStr">
        <is>
          <t>HVAC/Plumbing</t>
        </is>
      </c>
      <c r="C111" s="10" t="n">
        <v>111</v>
      </c>
      <c r="D111" s="8" t="inlineStr">
        <is>
          <t>Chevy Express 2500</t>
        </is>
      </c>
      <c r="E111" s="8" t="inlineStr">
        <is>
          <t>James Hernandez</t>
        </is>
      </c>
      <c r="F111" s="8" t="inlineStr">
        <is>
          <t>james@firstchoicehvacservicesllc.com</t>
        </is>
      </c>
      <c r="G111" s="8" t="inlineStr">
        <is>
          <t>702-555-9742</t>
        </is>
      </c>
      <c r="H111" s="9" t="inlineStr">
        <is>
          <t>DOT59808</t>
        </is>
      </c>
      <c r="I111" s="11" t="n">
        <v>0.336</v>
      </c>
      <c r="J111" s="8" t="inlineStr">
        <is>
          <t>Express Engine Bay Hose Thermal Crack Hazard</t>
        </is>
      </c>
      <c r="K111" s="9" t="inlineStr">
        <is>
          <t>Warm Prospect</t>
        </is>
      </c>
      <c r="L111" s="12">
        <f>IF(C111&gt;0, 99 + (C111 * 2.5), 0)</f>
        <v/>
      </c>
    </row>
    <row r="112">
      <c r="A112" s="13" t="inlineStr">
        <is>
          <t>Silver State Logistics Inc</t>
        </is>
      </c>
      <c r="B112" s="14" t="inlineStr">
        <is>
          <t>Boutique Transit</t>
        </is>
      </c>
      <c r="C112" s="15" t="n">
        <v>83</v>
      </c>
      <c r="D112" s="13" t="inlineStr">
        <is>
          <t>Mercedes-Benz Sprinter 2500</t>
        </is>
      </c>
      <c r="E112" s="13" t="inlineStr">
        <is>
          <t>Thomas Williams</t>
        </is>
      </c>
      <c r="F112" s="13" t="inlineStr">
        <is>
          <t>thomas@silverstatelogisticsinc.com</t>
        </is>
      </c>
      <c r="G112" s="13" t="inlineStr">
        <is>
          <t>702-555-8110</t>
        </is>
      </c>
      <c r="H112" s="14" t="inlineStr">
        <is>
          <t>DOT22903</t>
        </is>
      </c>
      <c r="I112" s="16" t="n">
        <v>0.276</v>
      </c>
      <c r="J112" s="13" t="inlineStr">
        <is>
          <t>Sprinter AC Comp Condensation Drain Backup Wiring Short</t>
        </is>
      </c>
      <c r="K112" s="14" t="inlineStr">
        <is>
          <t>Warm Prospect</t>
        </is>
      </c>
      <c r="L112" s="17">
        <f>IF(C112&gt;0, 99 + (C112 * 2.5), 0)</f>
        <v/>
      </c>
    </row>
    <row r="113">
      <c r="A113" s="8" t="inlineStr">
        <is>
          <t>Red Rock Electric Pros LLC</t>
        </is>
      </c>
      <c r="B113" s="9" t="inlineStr">
        <is>
          <t>Electrical Services</t>
        </is>
      </c>
      <c r="C113" s="10" t="n">
        <v>21</v>
      </c>
      <c r="D113" s="8" t="inlineStr">
        <is>
          <t>Chevy Express 2500</t>
        </is>
      </c>
      <c r="E113" s="8" t="inlineStr">
        <is>
          <t>Daniel Johnson</t>
        </is>
      </c>
      <c r="F113" s="8" t="inlineStr">
        <is>
          <t>daniel@redrockelectricprosllc.com</t>
        </is>
      </c>
      <c r="G113" s="8" t="inlineStr">
        <is>
          <t>702-555-5806</t>
        </is>
      </c>
      <c r="H113" s="9" t="inlineStr">
        <is>
          <t>DOT56984</t>
        </is>
      </c>
      <c r="I113" s="11" t="n">
        <v>0.156</v>
      </c>
      <c r="J113" s="8" t="inlineStr">
        <is>
          <t>Express Engine Bay Hose Thermal Crack Hazard</t>
        </is>
      </c>
      <c r="K113" s="9" t="inlineStr">
        <is>
          <t>Warm Prospect</t>
        </is>
      </c>
      <c r="L113" s="12">
        <f>IF(C113&gt;0, 99 + (C113 * 2.5), 0)</f>
        <v/>
      </c>
    </row>
    <row r="114">
      <c r="A114" s="13" t="inlineStr">
        <is>
          <t>High Rise Comfort Heating Group</t>
        </is>
      </c>
      <c r="B114" s="14" t="inlineStr">
        <is>
          <t>HVAC/Plumbing</t>
        </is>
      </c>
      <c r="C114" s="15" t="n">
        <v>53</v>
      </c>
      <c r="D114" s="13" t="inlineStr">
        <is>
          <t>Ford Transit 350</t>
        </is>
      </c>
      <c r="E114" s="13" t="inlineStr">
        <is>
          <t>William Williams</t>
        </is>
      </c>
      <c r="F114" s="13" t="inlineStr">
        <is>
          <t>william@highrisecomfortheatinggroup.com</t>
        </is>
      </c>
      <c r="G114" s="13" t="inlineStr">
        <is>
          <t>702-555-7267</t>
        </is>
      </c>
      <c r="H114" s="14" t="inlineStr">
        <is>
          <t>DOT91226</t>
        </is>
      </c>
      <c r="I114" s="16" t="n">
        <v>0.252</v>
      </c>
      <c r="J114" s="13" t="inlineStr">
        <is>
          <t>Transit 114°F Electrical Module Overheat Wire Ground Fire Risk</t>
        </is>
      </c>
      <c r="K114" s="14" t="inlineStr">
        <is>
          <t>Warm Prospect</t>
        </is>
      </c>
      <c r="L114" s="17">
        <f>IF(C114&gt;0, 99 + (C114 * 2.5), 0)</f>
        <v/>
      </c>
    </row>
    <row r="115">
      <c r="A115" s="8" t="inlineStr">
        <is>
          <t>Red Rock Airport Express LLC</t>
        </is>
      </c>
      <c r="B115" s="9" t="inlineStr">
        <is>
          <t>Boutique Transit</t>
        </is>
      </c>
      <c r="C115" s="10" t="n">
        <v>75</v>
      </c>
      <c r="D115" s="8" t="inlineStr">
        <is>
          <t>Ford Transit 350</t>
        </is>
      </c>
      <c r="E115" s="8" t="inlineStr">
        <is>
          <t>Donald Rodriguez</t>
        </is>
      </c>
      <c r="F115" s="8" t="inlineStr">
        <is>
          <t>donald@redrockairportexpressllc.com</t>
        </is>
      </c>
      <c r="G115" s="8" t="inlineStr">
        <is>
          <t>702-555-1153</t>
        </is>
      </c>
      <c r="H115" s="9" t="inlineStr">
        <is>
          <t>DOT70981</t>
        </is>
      </c>
      <c r="I115" s="11" t="n">
        <v>0.319</v>
      </c>
      <c r="J115" s="8" t="inlineStr">
        <is>
          <t>Transit 114°F Electrical Module Overheat Wire Ground Fire Risk</t>
        </is>
      </c>
      <c r="K115" s="9" t="inlineStr">
        <is>
          <t>Audit Run</t>
        </is>
      </c>
      <c r="L115" s="12">
        <f>IF(C115&gt;0, 99 + (C115 * 2.5), 0)</f>
        <v/>
      </c>
    </row>
    <row r="116">
      <c r="A116" s="13" t="inlineStr">
        <is>
          <t>Apex Comfort Heating LLC</t>
        </is>
      </c>
      <c r="B116" s="14" t="inlineStr">
        <is>
          <t>HVAC/Plumbing</t>
        </is>
      </c>
      <c r="C116" s="15" t="n">
        <v>86</v>
      </c>
      <c r="D116" s="13" t="inlineStr">
        <is>
          <t>Chevy Express 2500</t>
        </is>
      </c>
      <c r="E116" s="13" t="inlineStr">
        <is>
          <t>Mark Rodriguez</t>
        </is>
      </c>
      <c r="F116" s="13" t="inlineStr">
        <is>
          <t>mark@apexcomfortheatingllc.com</t>
        </is>
      </c>
      <c r="G116" s="13" t="inlineStr">
        <is>
          <t>702-555-8484</t>
        </is>
      </c>
      <c r="H116" s="14" t="inlineStr">
        <is>
          <t>DOT49599</t>
        </is>
      </c>
      <c r="I116" s="16" t="n">
        <v>0.102</v>
      </c>
      <c r="J116" s="13" t="inlineStr">
        <is>
          <t>Express Engine Bay Hose Thermal Crack Hazard</t>
        </is>
      </c>
      <c r="K116" s="14" t="inlineStr">
        <is>
          <t>Warm Prospect</t>
        </is>
      </c>
      <c r="L116" s="17">
        <f>IF(C116&gt;0, 99 + (C116 * 2.5), 0)</f>
        <v/>
      </c>
    </row>
    <row r="117">
      <c r="A117" s="8" t="inlineStr">
        <is>
          <t>Apex Power Systems LLC</t>
        </is>
      </c>
      <c r="B117" s="9" t="inlineStr">
        <is>
          <t>Electrical Services</t>
        </is>
      </c>
      <c r="C117" s="10" t="n">
        <v>85</v>
      </c>
      <c r="D117" s="8" t="inlineStr">
        <is>
          <t>Ram ProMaster 2500</t>
        </is>
      </c>
      <c r="E117" s="8" t="inlineStr">
        <is>
          <t>Christopher Smith</t>
        </is>
      </c>
      <c r="F117" s="8" t="inlineStr">
        <is>
          <t>christopher@apexpowersystemsllc.com</t>
        </is>
      </c>
      <c r="G117" s="8" t="inlineStr">
        <is>
          <t>702-555-7484</t>
        </is>
      </c>
      <c r="H117" s="9" t="inlineStr">
        <is>
          <t>DOT45976</t>
        </is>
      </c>
      <c r="I117" s="11" t="n">
        <v>0.043</v>
      </c>
      <c r="J117" s="8" t="inlineStr">
        <is>
          <t>ProMaster Brake Line Rubbing Collision Abrasion Leak</t>
        </is>
      </c>
      <c r="K117" s="9" t="inlineStr">
        <is>
          <t>Warm Prospect</t>
        </is>
      </c>
      <c r="L117" s="12">
        <f>IF(C117&gt;0, 99 + (C117 * 2.5), 0)</f>
        <v/>
      </c>
    </row>
    <row r="118">
      <c r="A118" s="13" t="inlineStr">
        <is>
          <t>Clark County Tours &amp; Transit LLC</t>
        </is>
      </c>
      <c r="B118" s="14" t="inlineStr">
        <is>
          <t>Boutique Transit</t>
        </is>
      </c>
      <c r="C118" s="15" t="n">
        <v>100</v>
      </c>
      <c r="D118" s="13" t="inlineStr">
        <is>
          <t>Mercedes-Benz Sprinter 2500</t>
        </is>
      </c>
      <c r="E118" s="13" t="inlineStr">
        <is>
          <t>Thomas Miller</t>
        </is>
      </c>
      <c r="F118" s="13" t="inlineStr">
        <is>
          <t>thomas@clarkcountytourstransitllc.com</t>
        </is>
      </c>
      <c r="G118" s="13" t="inlineStr">
        <is>
          <t>702-555-5106</t>
        </is>
      </c>
      <c r="H118" s="14" t="inlineStr">
        <is>
          <t>DOT98835</t>
        </is>
      </c>
      <c r="I118" s="16" t="n">
        <v>0.274</v>
      </c>
      <c r="J118" s="13" t="inlineStr">
        <is>
          <t>Sprinter AC Comp Condensation Drain Backup Wiring Short</t>
        </is>
      </c>
      <c r="K118" s="14" t="inlineStr">
        <is>
          <t>Warm Prospect</t>
        </is>
      </c>
      <c r="L118" s="17">
        <f>IF(C118&gt;0, 99 + (C118 * 2.5), 0)</f>
        <v/>
      </c>
    </row>
    <row r="119">
      <c r="A119" s="8" t="inlineStr">
        <is>
          <t>Apex Charter Buses Group</t>
        </is>
      </c>
      <c r="B119" s="9" t="inlineStr">
        <is>
          <t>Boutique Transit</t>
        </is>
      </c>
      <c r="C119" s="10" t="n">
        <v>89</v>
      </c>
      <c r="D119" s="8" t="inlineStr">
        <is>
          <t>Mercedes-Benz Sprinter 2500</t>
        </is>
      </c>
      <c r="E119" s="8" t="inlineStr">
        <is>
          <t>Donald Johnson</t>
        </is>
      </c>
      <c r="F119" s="8" t="inlineStr">
        <is>
          <t>donald@apexcharterbusesgroup.com</t>
        </is>
      </c>
      <c r="G119" s="8" t="inlineStr">
        <is>
          <t>702-555-6977</t>
        </is>
      </c>
      <c r="H119" s="9" t="inlineStr">
        <is>
          <t>DOT27224</t>
        </is>
      </c>
      <c r="I119" s="11" t="n">
        <v>0.068</v>
      </c>
      <c r="J119" s="8" t="inlineStr">
        <is>
          <t>Sprinter AC Comp Condensation Drain Backup Wiring Short</t>
        </is>
      </c>
      <c r="K119" s="9" t="inlineStr">
        <is>
          <t>Warm Prospect</t>
        </is>
      </c>
      <c r="L119" s="12">
        <f>IF(C119&gt;0, 99 + (C119 * 2.5), 0)</f>
        <v/>
      </c>
    </row>
    <row r="120">
      <c r="A120" s="13" t="inlineStr">
        <is>
          <t>Clark County Wiring Solutions Inc</t>
        </is>
      </c>
      <c r="B120" s="14" t="inlineStr">
        <is>
          <t>Electrical Services</t>
        </is>
      </c>
      <c r="C120" s="15" t="n">
        <v>43</v>
      </c>
      <c r="D120" s="13" t="inlineStr">
        <is>
          <t>Chevy Express 3500</t>
        </is>
      </c>
      <c r="E120" s="13" t="inlineStr">
        <is>
          <t>Andrew Lopez</t>
        </is>
      </c>
      <c r="F120" s="13" t="inlineStr">
        <is>
          <t>andrew@clarkcountywiringsolutionsinc.com</t>
        </is>
      </c>
      <c r="G120" s="13" t="inlineStr">
        <is>
          <t>702-555-9697</t>
        </is>
      </c>
      <c r="H120" s="14" t="inlineStr">
        <is>
          <t>DOT75771</t>
        </is>
      </c>
      <c r="I120" s="16" t="n">
        <v>0.323</v>
      </c>
      <c r="J120" s="13" t="inlineStr">
        <is>
          <t>Express Engine Bay Hose Thermal Crack Hazard</t>
        </is>
      </c>
      <c r="K120" s="14" t="inlineStr">
        <is>
          <t>Warm Prospect</t>
        </is>
      </c>
      <c r="L120" s="17">
        <f>IF(C120&gt;0, 99 + (C120 * 2.5), 0)</f>
        <v/>
      </c>
    </row>
    <row r="121">
      <c r="A121" s="8" t="inlineStr">
        <is>
          <t>Spring Valley Wiring Solutions LLC</t>
        </is>
      </c>
      <c r="B121" s="9" t="inlineStr">
        <is>
          <t>Electrical Services</t>
        </is>
      </c>
      <c r="C121" s="10" t="n">
        <v>39</v>
      </c>
      <c r="D121" s="8" t="inlineStr">
        <is>
          <t>Ram ProMaster 2500</t>
        </is>
      </c>
      <c r="E121" s="8" t="inlineStr">
        <is>
          <t>Donald Williams</t>
        </is>
      </c>
      <c r="F121" s="8" t="inlineStr">
        <is>
          <t>donald@springvalleywiringsolutionsllc.com</t>
        </is>
      </c>
      <c r="G121" s="8" t="inlineStr">
        <is>
          <t>702-555-3306</t>
        </is>
      </c>
      <c r="H121" s="9" t="inlineStr">
        <is>
          <t>DOT39571</t>
        </is>
      </c>
      <c r="I121" s="11" t="n">
        <v>0.307</v>
      </c>
      <c r="J121" s="8" t="inlineStr">
        <is>
          <t>ProMaster Brake Line Rubbing Collision Abrasion Leak</t>
        </is>
      </c>
      <c r="K121" s="9" t="inlineStr">
        <is>
          <t>Warm Prospect</t>
        </is>
      </c>
      <c r="L121" s="12">
        <f>IF(C121&gt;0, 99 + (C121 * 2.5), 0)</f>
        <v/>
      </c>
    </row>
    <row r="122">
      <c r="A122" s="13" t="inlineStr">
        <is>
          <t>Valley Shuttles LLC</t>
        </is>
      </c>
      <c r="B122" s="14" t="inlineStr">
        <is>
          <t>Boutique Transit</t>
        </is>
      </c>
      <c r="C122" s="15" t="n">
        <v>77</v>
      </c>
      <c r="D122" s="13" t="inlineStr">
        <is>
          <t>Mercedes-Benz Sprinter 2500</t>
        </is>
      </c>
      <c r="E122" s="13" t="inlineStr">
        <is>
          <t>Andrew Brown</t>
        </is>
      </c>
      <c r="F122" s="13" t="inlineStr">
        <is>
          <t>andrew@valleyshuttlesllc.com</t>
        </is>
      </c>
      <c r="G122" s="13" t="inlineStr">
        <is>
          <t>702-555-8451</t>
        </is>
      </c>
      <c r="H122" s="14" t="inlineStr">
        <is>
          <t>DOT58311</t>
        </is>
      </c>
      <c r="I122" s="16" t="n">
        <v>0.249</v>
      </c>
      <c r="J122" s="13" t="inlineStr">
        <is>
          <t>Sprinter AC Comp Condensation Drain Backup Wiring Short</t>
        </is>
      </c>
      <c r="K122" s="14" t="inlineStr">
        <is>
          <t>Warm Prospect</t>
        </is>
      </c>
      <c r="L122" s="17">
        <f>IF(C122&gt;0, 99 + (C122 * 2.5), 0)</f>
        <v/>
      </c>
    </row>
    <row r="123">
      <c r="A123" s="8" t="inlineStr">
        <is>
          <t>Titan Charter Buses LLC</t>
        </is>
      </c>
      <c r="B123" s="9" t="inlineStr">
        <is>
          <t>Boutique Transit</t>
        </is>
      </c>
      <c r="C123" s="10" t="n">
        <v>69</v>
      </c>
      <c r="D123" s="8" t="inlineStr">
        <is>
          <t>Mercedes-Benz Sprinter 2500</t>
        </is>
      </c>
      <c r="E123" s="8" t="inlineStr">
        <is>
          <t>Steven Smith</t>
        </is>
      </c>
      <c r="F123" s="8" t="inlineStr">
        <is>
          <t>steven@titancharterbusesllc.com</t>
        </is>
      </c>
      <c r="G123" s="8" t="inlineStr">
        <is>
          <t>702-555-6374</t>
        </is>
      </c>
      <c r="H123" s="9" t="inlineStr">
        <is>
          <t>DOT89964</t>
        </is>
      </c>
      <c r="I123" s="11" t="n">
        <v>0.109</v>
      </c>
      <c r="J123" s="8" t="inlineStr">
        <is>
          <t>Sprinter AC Comp Condensation Drain Backup Wiring Short</t>
        </is>
      </c>
      <c r="K123" s="9" t="inlineStr">
        <is>
          <t>Warm Prospect</t>
        </is>
      </c>
      <c r="L123" s="12">
        <f>IF(C123&gt;0, 99 + (C123 * 2.5), 0)</f>
        <v/>
      </c>
    </row>
    <row r="124">
      <c r="A124" s="13" t="inlineStr">
        <is>
          <t>Summerlin Tours &amp; Transit Group</t>
        </is>
      </c>
      <c r="B124" s="14" t="inlineStr">
        <is>
          <t>Boutique Transit</t>
        </is>
      </c>
      <c r="C124" s="15" t="n">
        <v>114</v>
      </c>
      <c r="D124" s="13" t="inlineStr">
        <is>
          <t>Mercedes-Benz Sprinter 3500</t>
        </is>
      </c>
      <c r="E124" s="13" t="inlineStr">
        <is>
          <t>Robert Jones</t>
        </is>
      </c>
      <c r="F124" s="13" t="inlineStr">
        <is>
          <t>robert@summerlintourstransitgroup.com</t>
        </is>
      </c>
      <c r="G124" s="13" t="inlineStr">
        <is>
          <t>702-555-1742</t>
        </is>
      </c>
      <c r="H124" s="14" t="inlineStr">
        <is>
          <t>DOT14877</t>
        </is>
      </c>
      <c r="I124" s="16" t="n">
        <v>0.134</v>
      </c>
      <c r="J124" s="13" t="inlineStr">
        <is>
          <t>Sprinter AC Comp Condensation Drain Backup Wiring Short</t>
        </is>
      </c>
      <c r="K124" s="14" t="inlineStr">
        <is>
          <t>Warm Prospect</t>
        </is>
      </c>
      <c r="L124" s="17">
        <f>IF(C124&gt;0, 99 + (C124 * 2.5), 0)</f>
        <v/>
      </c>
    </row>
    <row r="125">
      <c r="A125" s="8" t="inlineStr">
        <is>
          <t>Apex Plumbing &amp; Drain Group</t>
        </is>
      </c>
      <c r="B125" s="9" t="inlineStr">
        <is>
          <t>HVAC/Plumbing</t>
        </is>
      </c>
      <c r="C125" s="10" t="n">
        <v>109</v>
      </c>
      <c r="D125" s="8" t="inlineStr">
        <is>
          <t>Ford Transit 350</t>
        </is>
      </c>
      <c r="E125" s="8" t="inlineStr">
        <is>
          <t>Donald Lopez</t>
        </is>
      </c>
      <c r="F125" s="8" t="inlineStr">
        <is>
          <t>donald@apexplumbingdraingroup.com</t>
        </is>
      </c>
      <c r="G125" s="8" t="inlineStr">
        <is>
          <t>702-555-9850</t>
        </is>
      </c>
      <c r="H125" s="9" t="inlineStr">
        <is>
          <t>DOT64935</t>
        </is>
      </c>
      <c r="I125" s="11" t="n">
        <v>0.222</v>
      </c>
      <c r="J125" s="8" t="inlineStr">
        <is>
          <t>Transit 114°F Electrical Module Overheat Wire Ground Fire Risk</t>
        </is>
      </c>
      <c r="K125" s="9" t="inlineStr">
        <is>
          <t>Warm Prospect</t>
        </is>
      </c>
      <c r="L125" s="12">
        <f>IF(C125&gt;0, 99 + (C125 * 2.5), 0)</f>
        <v/>
      </c>
    </row>
    <row r="126">
      <c r="A126" s="13" t="inlineStr">
        <is>
          <t>Vegas Valley Electric &amp; Solar LLC</t>
        </is>
      </c>
      <c r="B126" s="14" t="inlineStr">
        <is>
          <t>Electrical Services</t>
        </is>
      </c>
      <c r="C126" s="15" t="n">
        <v>81</v>
      </c>
      <c r="D126" s="13" t="inlineStr">
        <is>
          <t>Ram ProMaster 1500</t>
        </is>
      </c>
      <c r="E126" s="13" t="inlineStr">
        <is>
          <t>Michael Lopez</t>
        </is>
      </c>
      <c r="F126" s="13" t="inlineStr">
        <is>
          <t>michael@vegasvalleyelectricsolarllc.com</t>
        </is>
      </c>
      <c r="G126" s="13" t="inlineStr">
        <is>
          <t>702-555-4559</t>
        </is>
      </c>
      <c r="H126" s="14" t="inlineStr">
        <is>
          <t>DOT68115</t>
        </is>
      </c>
      <c r="I126" s="16" t="n">
        <v>0.178</v>
      </c>
      <c r="J126" s="13" t="inlineStr">
        <is>
          <t>ProMaster Brake Line Rubbing Collision Abrasion Leak</t>
        </is>
      </c>
      <c r="K126" s="14" t="inlineStr">
        <is>
          <t>Warm Prospect</t>
        </is>
      </c>
      <c r="L126" s="17">
        <f>IF(C126&gt;0, 99 + (C126 * 2.5), 0)</f>
        <v/>
      </c>
    </row>
    <row r="127">
      <c r="A127" s="8" t="inlineStr">
        <is>
          <t>Apex Electric Pros LLC</t>
        </is>
      </c>
      <c r="B127" s="9" t="inlineStr">
        <is>
          <t>Electrical Services</t>
        </is>
      </c>
      <c r="C127" s="10" t="n">
        <v>25</v>
      </c>
      <c r="D127" s="8" t="inlineStr">
        <is>
          <t>Ram ProMaster 2500</t>
        </is>
      </c>
      <c r="E127" s="8" t="inlineStr">
        <is>
          <t>Anthony Rodriguez</t>
        </is>
      </c>
      <c r="F127" s="8" t="inlineStr">
        <is>
          <t>anthony@apexelectricprosllc.com</t>
        </is>
      </c>
      <c r="G127" s="8" t="inlineStr">
        <is>
          <t>702-555-4109</t>
        </is>
      </c>
      <c r="H127" s="9" t="inlineStr">
        <is>
          <t>DOT26011</t>
        </is>
      </c>
      <c r="I127" s="11" t="n">
        <v>0.334</v>
      </c>
      <c r="J127" s="8" t="inlineStr">
        <is>
          <t>ProMaster Brake Line Rubbing Collision Abrasion Leak</t>
        </is>
      </c>
      <c r="K127" s="9" t="inlineStr">
        <is>
          <t>Warm Prospect</t>
        </is>
      </c>
      <c r="L127" s="12">
        <f>IF(C127&gt;0, 99 + (C127 * 2.5), 0)</f>
        <v/>
      </c>
    </row>
    <row r="128">
      <c r="A128" s="13" t="inlineStr">
        <is>
          <t>Vegas Valley Plumbing &amp; Drain Group</t>
        </is>
      </c>
      <c r="B128" s="14" t="inlineStr">
        <is>
          <t>HVAC/Plumbing</t>
        </is>
      </c>
      <c r="C128" s="15" t="n">
        <v>15</v>
      </c>
      <c r="D128" s="13" t="inlineStr">
        <is>
          <t>Chevy Express 2500</t>
        </is>
      </c>
      <c r="E128" s="13" t="inlineStr">
        <is>
          <t>Michael Hernandez</t>
        </is>
      </c>
      <c r="F128" s="13" t="inlineStr">
        <is>
          <t>michael@vegasvalleyplumbingdraingroup.com</t>
        </is>
      </c>
      <c r="G128" s="13" t="inlineStr">
        <is>
          <t>702-555-4990</t>
        </is>
      </c>
      <c r="H128" s="14" t="inlineStr">
        <is>
          <t>DOT26505</t>
        </is>
      </c>
      <c r="I128" s="16" t="n">
        <v>0.284</v>
      </c>
      <c r="J128" s="13" t="inlineStr">
        <is>
          <t>Express Engine Bay Hose Thermal Crack Hazard</t>
        </is>
      </c>
      <c r="K128" s="14" t="inlineStr">
        <is>
          <t>Warm Prospect</t>
        </is>
      </c>
      <c r="L128" s="17">
        <f>IF(C128&gt;0, 99 + (C128 * 2.5), 0)</f>
        <v/>
      </c>
    </row>
    <row r="129">
      <c r="A129" s="8" t="inlineStr">
        <is>
          <t>Summerlin Plumbing Experts Inc</t>
        </is>
      </c>
      <c r="B129" s="9" t="inlineStr">
        <is>
          <t>HVAC/Plumbing</t>
        </is>
      </c>
      <c r="C129" s="10" t="n">
        <v>65</v>
      </c>
      <c r="D129" s="8" t="inlineStr">
        <is>
          <t>Chevy Express 2500</t>
        </is>
      </c>
      <c r="E129" s="8" t="inlineStr">
        <is>
          <t>Thomas Hernandez</t>
        </is>
      </c>
      <c r="F129" s="8" t="inlineStr">
        <is>
          <t>thomas@summerlinplumbingexpertsinc.com</t>
        </is>
      </c>
      <c r="G129" s="8" t="inlineStr">
        <is>
          <t>702-555-3417</t>
        </is>
      </c>
      <c r="H129" s="9" t="inlineStr">
        <is>
          <t>DOT88116</t>
        </is>
      </c>
      <c r="I129" s="11" t="n">
        <v>0.041</v>
      </c>
      <c r="J129" s="8" t="inlineStr">
        <is>
          <t>Express Engine Bay Hose Thermal Crack Hazard</t>
        </is>
      </c>
      <c r="K129" s="9" t="inlineStr">
        <is>
          <t>Warm Prospect</t>
        </is>
      </c>
      <c r="L129" s="12">
        <f>IF(C129&gt;0, 99 + (C129 * 2.5), 0)</f>
        <v/>
      </c>
    </row>
    <row r="130">
      <c r="A130" s="13" t="inlineStr">
        <is>
          <t>High Rise HVAC Services Inc</t>
        </is>
      </c>
      <c r="B130" s="14" t="inlineStr">
        <is>
          <t>HVAC/Plumbing</t>
        </is>
      </c>
      <c r="C130" s="15" t="n">
        <v>16</v>
      </c>
      <c r="D130" s="13" t="inlineStr">
        <is>
          <t>Ford Transit 250</t>
        </is>
      </c>
      <c r="E130" s="13" t="inlineStr">
        <is>
          <t>David Smith</t>
        </is>
      </c>
      <c r="F130" s="13" t="inlineStr">
        <is>
          <t>david@highrisehvacservicesinc.com</t>
        </is>
      </c>
      <c r="G130" s="13" t="inlineStr">
        <is>
          <t>702-555-6869</t>
        </is>
      </c>
      <c r="H130" s="14" t="inlineStr">
        <is>
          <t>DOT41186</t>
        </is>
      </c>
      <c r="I130" s="16" t="n">
        <v>0.223</v>
      </c>
      <c r="J130" s="13" t="inlineStr">
        <is>
          <t>Transit 114°F Electrical Module Overheat Wire Ground Fire Risk</t>
        </is>
      </c>
      <c r="K130" s="14" t="inlineStr">
        <is>
          <t>Warm Prospect</t>
        </is>
      </c>
      <c r="L130" s="17">
        <f>IF(C130&gt;0, 99 + (C130 * 2.5), 0)</f>
        <v/>
      </c>
    </row>
    <row r="131">
      <c r="A131" s="8" t="inlineStr">
        <is>
          <t>Mojave Air Conditioning Inc</t>
        </is>
      </c>
      <c r="B131" s="9" t="inlineStr">
        <is>
          <t>HVAC/Plumbing</t>
        </is>
      </c>
      <c r="C131" s="10" t="n">
        <v>144</v>
      </c>
      <c r="D131" s="8" t="inlineStr">
        <is>
          <t>GMC Savana 2500</t>
        </is>
      </c>
      <c r="E131" s="8" t="inlineStr">
        <is>
          <t>Robert Williams</t>
        </is>
      </c>
      <c r="F131" s="8" t="inlineStr">
        <is>
          <t>robert@mojaveairconditioninginc.com</t>
        </is>
      </c>
      <c r="G131" s="8" t="inlineStr">
        <is>
          <t>702-555-8802</t>
        </is>
      </c>
      <c r="H131" s="9" t="inlineStr">
        <is>
          <t>DOT68756</t>
        </is>
      </c>
      <c r="I131" s="11" t="n">
        <v>0.281</v>
      </c>
      <c r="J131" s="8" t="inlineStr">
        <is>
          <t>Savana Desert Fuel Line Seal Degradation Failure</t>
        </is>
      </c>
      <c r="K131" s="9" t="inlineStr">
        <is>
          <t>Audit Run</t>
        </is>
      </c>
      <c r="L131" s="12">
        <f>IF(C131&gt;0, 99 + (C131 * 2.5), 0)</f>
        <v/>
      </c>
    </row>
    <row r="132">
      <c r="A132" s="13" t="inlineStr">
        <is>
          <t>Apex Tours &amp; Transit Group</t>
        </is>
      </c>
      <c r="B132" s="14" t="inlineStr">
        <is>
          <t>Boutique Transit</t>
        </is>
      </c>
      <c r="C132" s="15" t="n">
        <v>21</v>
      </c>
      <c r="D132" s="13" t="inlineStr">
        <is>
          <t>Mercedes-Benz Sprinter 2500</t>
        </is>
      </c>
      <c r="E132" s="13" t="inlineStr">
        <is>
          <t>Paul Martinez</t>
        </is>
      </c>
      <c r="F132" s="13" t="inlineStr">
        <is>
          <t>paul@apextourstransitgroup.com</t>
        </is>
      </c>
      <c r="G132" s="13" t="inlineStr">
        <is>
          <t>702-555-8504</t>
        </is>
      </c>
      <c r="H132" s="14" t="inlineStr">
        <is>
          <t>DOT94323</t>
        </is>
      </c>
      <c r="I132" s="16" t="n">
        <v>0.339</v>
      </c>
      <c r="J132" s="13" t="inlineStr">
        <is>
          <t>Sprinter AC Comp Condensation Drain Backup Wiring Short</t>
        </is>
      </c>
      <c r="K132" s="14" t="inlineStr">
        <is>
          <t>Warm Prospect</t>
        </is>
      </c>
      <c r="L132" s="17">
        <f>IF(C132&gt;0, 99 + (C132 * 2.5), 0)</f>
        <v/>
      </c>
    </row>
    <row r="133">
      <c r="A133" s="8" t="inlineStr">
        <is>
          <t>Summerlin Wiring Solutions LLC</t>
        </is>
      </c>
      <c r="B133" s="9" t="inlineStr">
        <is>
          <t>Electrical Services</t>
        </is>
      </c>
      <c r="C133" s="10" t="n">
        <v>135</v>
      </c>
      <c r="D133" s="8" t="inlineStr">
        <is>
          <t>Chevy Express 2500</t>
        </is>
      </c>
      <c r="E133" s="8" t="inlineStr">
        <is>
          <t>Donald Williams</t>
        </is>
      </c>
      <c r="F133" s="8" t="inlineStr">
        <is>
          <t>donald@summerlinwiringsolutionsllc.com</t>
        </is>
      </c>
      <c r="G133" s="8" t="inlineStr">
        <is>
          <t>702-555-2323</t>
        </is>
      </c>
      <c r="H133" s="9" t="inlineStr">
        <is>
          <t>DOT52219</t>
        </is>
      </c>
      <c r="I133" s="11" t="n">
        <v>0.229</v>
      </c>
      <c r="J133" s="8" t="inlineStr">
        <is>
          <t>Express Engine Bay Hose Thermal Crack Hazard</t>
        </is>
      </c>
      <c r="K133" s="9" t="inlineStr">
        <is>
          <t>Warm Prospect</t>
        </is>
      </c>
      <c r="L133" s="12">
        <f>IF(C133&gt;0, 99 + (C133 * 2.5), 0)</f>
        <v/>
      </c>
    </row>
    <row r="134">
      <c r="A134" s="13" t="inlineStr">
        <is>
          <t>Mojave Plumbing Experts Group</t>
        </is>
      </c>
      <c r="B134" s="14" t="inlineStr">
        <is>
          <t>HVAC/Plumbing</t>
        </is>
      </c>
      <c r="C134" s="15" t="n">
        <v>150</v>
      </c>
      <c r="D134" s="13" t="inlineStr">
        <is>
          <t>Chevy Express 2500</t>
        </is>
      </c>
      <c r="E134" s="13" t="inlineStr">
        <is>
          <t>Daniel Gonzalez</t>
        </is>
      </c>
      <c r="F134" s="13" t="inlineStr">
        <is>
          <t>daniel@mojaveplumbingexpertsgroup.com</t>
        </is>
      </c>
      <c r="G134" s="13" t="inlineStr">
        <is>
          <t>702-555-9692</t>
        </is>
      </c>
      <c r="H134" s="14" t="inlineStr">
        <is>
          <t>DOT48652</t>
        </is>
      </c>
      <c r="I134" s="16" t="n">
        <v>0.181</v>
      </c>
      <c r="J134" s="13" t="inlineStr">
        <is>
          <t>Express Engine Bay Hose Thermal Crack Hazard</t>
        </is>
      </c>
      <c r="K134" s="14" t="inlineStr">
        <is>
          <t>Audit Run</t>
        </is>
      </c>
      <c r="L134" s="17">
        <f>IF(C134&gt;0, 99 + (C134 * 2.5), 0)</f>
        <v/>
      </c>
    </row>
    <row r="135">
      <c r="A135" s="8" t="inlineStr">
        <is>
          <t>Apex Electric Pros Inc</t>
        </is>
      </c>
      <c r="B135" s="9" t="inlineStr">
        <is>
          <t>Electrical Services</t>
        </is>
      </c>
      <c r="C135" s="10" t="n">
        <v>120</v>
      </c>
      <c r="D135" s="8" t="inlineStr">
        <is>
          <t>Chevy Express 3500</t>
        </is>
      </c>
      <c r="E135" s="8" t="inlineStr">
        <is>
          <t>Donald Davis</t>
        </is>
      </c>
      <c r="F135" s="8" t="inlineStr">
        <is>
          <t>donald@apexelectricprosinc.com</t>
        </is>
      </c>
      <c r="G135" s="8" t="inlineStr">
        <is>
          <t>702-555-7779</t>
        </is>
      </c>
      <c r="H135" s="9" t="inlineStr">
        <is>
          <t>DOT54424</t>
        </is>
      </c>
      <c r="I135" s="11" t="n">
        <v>0.296</v>
      </c>
      <c r="J135" s="8" t="inlineStr">
        <is>
          <t>Express Engine Bay Hose Thermal Crack Hazard</t>
        </is>
      </c>
      <c r="K135" s="9" t="inlineStr">
        <is>
          <t>Warm Prospect</t>
        </is>
      </c>
      <c r="L135" s="12">
        <f>IF(C135&gt;0, 99 + (C135 * 2.5), 0)</f>
        <v/>
      </c>
    </row>
    <row r="136">
      <c r="A136" s="13" t="inlineStr">
        <is>
          <t>Clark County Electric &amp; Solar LLC</t>
        </is>
      </c>
      <c r="B136" s="14" t="inlineStr">
        <is>
          <t>Electrical Services</t>
        </is>
      </c>
      <c r="C136" s="15" t="n">
        <v>90</v>
      </c>
      <c r="D136" s="13" t="inlineStr">
        <is>
          <t>Ram ProMaster 1500</t>
        </is>
      </c>
      <c r="E136" s="13" t="inlineStr">
        <is>
          <t>Charles Lopez</t>
        </is>
      </c>
      <c r="F136" s="13" t="inlineStr">
        <is>
          <t>charles@clarkcountyelectricsolarllc.com</t>
        </is>
      </c>
      <c r="G136" s="13" t="inlineStr">
        <is>
          <t>702-555-3500</t>
        </is>
      </c>
      <c r="H136" s="14" t="inlineStr">
        <is>
          <t>DOT72163</t>
        </is>
      </c>
      <c r="I136" s="16" t="n">
        <v>0.061</v>
      </c>
      <c r="J136" s="13" t="inlineStr">
        <is>
          <t>ProMaster Brake Line Rubbing Collision Abrasion Leak</t>
        </is>
      </c>
      <c r="K136" s="14" t="inlineStr">
        <is>
          <t>Warm Prospect</t>
        </is>
      </c>
      <c r="L136" s="17">
        <f>IF(C136&gt;0, 99 + (C136 * 2.5), 0)</f>
        <v/>
      </c>
    </row>
    <row r="137">
      <c r="A137" s="8" t="inlineStr">
        <is>
          <t>Titan Air Conditioning Group</t>
        </is>
      </c>
      <c r="B137" s="9" t="inlineStr">
        <is>
          <t>HVAC/Plumbing</t>
        </is>
      </c>
      <c r="C137" s="10" t="n">
        <v>43</v>
      </c>
      <c r="D137" s="8" t="inlineStr">
        <is>
          <t>Ford Transit 150</t>
        </is>
      </c>
      <c r="E137" s="8" t="inlineStr">
        <is>
          <t>Andrew Johnson</t>
        </is>
      </c>
      <c r="F137" s="8" t="inlineStr">
        <is>
          <t>andrew@titanairconditioninggroup.com</t>
        </is>
      </c>
      <c r="G137" s="8" t="inlineStr">
        <is>
          <t>702-555-6400</t>
        </is>
      </c>
      <c r="H137" s="9" t="inlineStr">
        <is>
          <t>DOT97819</t>
        </is>
      </c>
      <c r="I137" s="11" t="n">
        <v>0.078</v>
      </c>
      <c r="J137" s="8" t="inlineStr">
        <is>
          <t>Transit 114°F Electrical Module Overheat Wire Ground Fire Risk</t>
        </is>
      </c>
      <c r="K137" s="9" t="inlineStr">
        <is>
          <t>Warm Prospect</t>
        </is>
      </c>
      <c r="L137" s="12">
        <f>IF(C137&gt;0, 99 + (C137 * 2.5), 0)</f>
        <v/>
      </c>
    </row>
    <row r="138">
      <c r="A138" s="13" t="inlineStr">
        <is>
          <t>Henderson Tours &amp; Transit Group</t>
        </is>
      </c>
      <c r="B138" s="14" t="inlineStr">
        <is>
          <t>Boutique Transit</t>
        </is>
      </c>
      <c r="C138" s="15" t="n">
        <v>83</v>
      </c>
      <c r="D138" s="13" t="inlineStr">
        <is>
          <t>Mercedes-Benz Sprinter 2500</t>
        </is>
      </c>
      <c r="E138" s="13" t="inlineStr">
        <is>
          <t>Kenneth Martinez</t>
        </is>
      </c>
      <c r="F138" s="13" t="inlineStr">
        <is>
          <t>kenneth@hendersontourstransitgroup.com</t>
        </is>
      </c>
      <c r="G138" s="13" t="inlineStr">
        <is>
          <t>702-555-6761</t>
        </is>
      </c>
      <c r="H138" s="14" t="inlineStr">
        <is>
          <t>DOT23579</t>
        </is>
      </c>
      <c r="I138" s="16" t="n">
        <v>0.219</v>
      </c>
      <c r="J138" s="13" t="inlineStr">
        <is>
          <t>Sprinter AC Comp Condensation Drain Backup Wiring Short</t>
        </is>
      </c>
      <c r="K138" s="14" t="inlineStr">
        <is>
          <t>Warm Prospect</t>
        </is>
      </c>
      <c r="L138" s="17">
        <f>IF(C138&gt;0, 99 + (C138 * 2.5), 0)</f>
        <v/>
      </c>
    </row>
    <row r="139">
      <c r="A139" s="8" t="inlineStr">
        <is>
          <t>Vegas Valley Comfort Heating Inc</t>
        </is>
      </c>
      <c r="B139" s="9" t="inlineStr">
        <is>
          <t>HVAC/Plumbing</t>
        </is>
      </c>
      <c r="C139" s="10" t="n">
        <v>99</v>
      </c>
      <c r="D139" s="8" t="inlineStr">
        <is>
          <t>Ford Transit 250</t>
        </is>
      </c>
      <c r="E139" s="8" t="inlineStr">
        <is>
          <t>Andrew Lopez</t>
        </is>
      </c>
      <c r="F139" s="8" t="inlineStr">
        <is>
          <t>andrew@vegasvalleycomfortheatinginc.com</t>
        </is>
      </c>
      <c r="G139" s="8" t="inlineStr">
        <is>
          <t>702-555-2882</t>
        </is>
      </c>
      <c r="H139" s="9" t="inlineStr">
        <is>
          <t>DOT46512</t>
        </is>
      </c>
      <c r="I139" s="11" t="n">
        <v>0.218</v>
      </c>
      <c r="J139" s="8" t="inlineStr">
        <is>
          <t>Transit 114°F Electrical Module Overheat Wire Ground Fire Risk</t>
        </is>
      </c>
      <c r="K139" s="9" t="inlineStr">
        <is>
          <t>Warm Prospect</t>
        </is>
      </c>
      <c r="L139" s="12">
        <f>IF(C139&gt;0, 99 + (C139 * 2.5), 0)</f>
        <v/>
      </c>
    </row>
    <row r="140">
      <c r="A140" s="13" t="inlineStr">
        <is>
          <t>Henderson Logistics Group</t>
        </is>
      </c>
      <c r="B140" s="14" t="inlineStr">
        <is>
          <t>Boutique Transit</t>
        </is>
      </c>
      <c r="C140" s="15" t="n">
        <v>16</v>
      </c>
      <c r="D140" s="13" t="inlineStr">
        <is>
          <t>Ford Transit 350</t>
        </is>
      </c>
      <c r="E140" s="13" t="inlineStr">
        <is>
          <t>Kenneth Rodriguez</t>
        </is>
      </c>
      <c r="F140" s="13" t="inlineStr">
        <is>
          <t>kenneth@hendersonlogisticsgroup.com</t>
        </is>
      </c>
      <c r="G140" s="13" t="inlineStr">
        <is>
          <t>702-555-1474</t>
        </is>
      </c>
      <c r="H140" s="14" t="inlineStr">
        <is>
          <t>DOT33647</t>
        </is>
      </c>
      <c r="I140" s="16" t="n">
        <v>0.125</v>
      </c>
      <c r="J140" s="13" t="inlineStr">
        <is>
          <t>Transit 114°F Electrical Module Overheat Wire Ground Fire Risk</t>
        </is>
      </c>
      <c r="K140" s="14" t="inlineStr">
        <is>
          <t>Warm Prospect</t>
        </is>
      </c>
      <c r="L140" s="17">
        <f>IF(C140&gt;0, 99 + (C140 * 2.5), 0)</f>
        <v/>
      </c>
    </row>
    <row r="141">
      <c r="A141" s="8" t="inlineStr">
        <is>
          <t>Valley Electric &amp; Solar Inc</t>
        </is>
      </c>
      <c r="B141" s="9" t="inlineStr">
        <is>
          <t>Electrical Services</t>
        </is>
      </c>
      <c r="C141" s="10" t="n">
        <v>112</v>
      </c>
      <c r="D141" s="8" t="inlineStr">
        <is>
          <t>Chevy Express 3500</t>
        </is>
      </c>
      <c r="E141" s="8" t="inlineStr">
        <is>
          <t>James Jones</t>
        </is>
      </c>
      <c r="F141" s="8" t="inlineStr">
        <is>
          <t>james@valleyelectricsolarinc.com</t>
        </is>
      </c>
      <c r="G141" s="8" t="inlineStr">
        <is>
          <t>702-555-1502</t>
        </is>
      </c>
      <c r="H141" s="9" t="inlineStr">
        <is>
          <t>DOT22026</t>
        </is>
      </c>
      <c r="I141" s="11" t="n">
        <v>0.271</v>
      </c>
      <c r="J141" s="8" t="inlineStr">
        <is>
          <t>Express Engine Bay Hose Thermal Crack Hazard</t>
        </is>
      </c>
      <c r="K141" s="9" t="inlineStr">
        <is>
          <t>Warm Prospect</t>
        </is>
      </c>
      <c r="L141" s="12">
        <f>IF(C141&gt;0, 99 + (C141 * 2.5), 0)</f>
        <v/>
      </c>
    </row>
    <row r="142">
      <c r="A142" s="13" t="inlineStr">
        <is>
          <t>Titan Wiring Solutions LLC</t>
        </is>
      </c>
      <c r="B142" s="14" t="inlineStr">
        <is>
          <t>Electrical Services</t>
        </is>
      </c>
      <c r="C142" s="15" t="n">
        <v>104</v>
      </c>
      <c r="D142" s="13" t="inlineStr">
        <is>
          <t>Chevy Express 3500</t>
        </is>
      </c>
      <c r="E142" s="13" t="inlineStr">
        <is>
          <t>Christopher Hernandez</t>
        </is>
      </c>
      <c r="F142" s="13" t="inlineStr">
        <is>
          <t>christopher@titanwiringsolutionsllc.com</t>
        </is>
      </c>
      <c r="G142" s="13" t="inlineStr">
        <is>
          <t>702-555-2391</t>
        </is>
      </c>
      <c r="H142" s="14" t="inlineStr">
        <is>
          <t>DOT16895</t>
        </is>
      </c>
      <c r="I142" s="16" t="n">
        <v>0.08799999999999999</v>
      </c>
      <c r="J142" s="13" t="inlineStr">
        <is>
          <t>Express Engine Bay Hose Thermal Crack Hazard</t>
        </is>
      </c>
      <c r="K142" s="14" t="inlineStr">
        <is>
          <t>Audit Run</t>
        </is>
      </c>
      <c r="L142" s="17">
        <f>IF(C142&gt;0, 99 + (C142 * 2.5), 0)</f>
        <v/>
      </c>
    </row>
    <row r="143">
      <c r="A143" s="8" t="inlineStr">
        <is>
          <t>Vegas Valley Air Conditioning LLC</t>
        </is>
      </c>
      <c r="B143" s="9" t="inlineStr">
        <is>
          <t>HVAC/Plumbing</t>
        </is>
      </c>
      <c r="C143" s="10" t="n">
        <v>118</v>
      </c>
      <c r="D143" s="8" t="inlineStr">
        <is>
          <t>GMC Savana 2500</t>
        </is>
      </c>
      <c r="E143" s="8" t="inlineStr">
        <is>
          <t>Steven Martin</t>
        </is>
      </c>
      <c r="F143" s="8" t="inlineStr">
        <is>
          <t>steven@vegasvalleyairconditioningllc.com</t>
        </is>
      </c>
      <c r="G143" s="8" t="inlineStr">
        <is>
          <t>702-555-8242</t>
        </is>
      </c>
      <c r="H143" s="9" t="inlineStr">
        <is>
          <t>DOT64287</t>
        </is>
      </c>
      <c r="I143" s="11" t="n">
        <v>0.125</v>
      </c>
      <c r="J143" s="8" t="inlineStr">
        <is>
          <t>Savana Desert Fuel Line Seal Degradation Failure</t>
        </is>
      </c>
      <c r="K143" s="9" t="inlineStr">
        <is>
          <t>Audit Run</t>
        </is>
      </c>
      <c r="L143" s="12">
        <f>IF(C143&gt;0, 99 + (C143 * 2.5), 0)</f>
        <v/>
      </c>
    </row>
    <row r="144">
      <c r="A144" s="13" t="inlineStr">
        <is>
          <t>Valley Comfort Heating Inc</t>
        </is>
      </c>
      <c r="B144" s="14" t="inlineStr">
        <is>
          <t>HVAC/Plumbing</t>
        </is>
      </c>
      <c r="C144" s="15" t="n">
        <v>134</v>
      </c>
      <c r="D144" s="13" t="inlineStr">
        <is>
          <t>Ford Transit 150</t>
        </is>
      </c>
      <c r="E144" s="13" t="inlineStr">
        <is>
          <t>Paul Martinez</t>
        </is>
      </c>
      <c r="F144" s="13" t="inlineStr">
        <is>
          <t>paul@valleycomfortheatinginc.com</t>
        </is>
      </c>
      <c r="G144" s="13" t="inlineStr">
        <is>
          <t>702-555-1744</t>
        </is>
      </c>
      <c r="H144" s="14" t="inlineStr">
        <is>
          <t>DOT38903</t>
        </is>
      </c>
      <c r="I144" s="16" t="n">
        <v>0.163</v>
      </c>
      <c r="J144" s="13" t="inlineStr">
        <is>
          <t>Transit 114°F Electrical Module Overheat Wire Ground Fire Risk</t>
        </is>
      </c>
      <c r="K144" s="14" t="inlineStr">
        <is>
          <t>Audit Run</t>
        </is>
      </c>
      <c r="L144" s="17">
        <f>IF(C144&gt;0, 99 + (C144 * 2.5), 0)</f>
        <v/>
      </c>
    </row>
    <row r="145">
      <c r="A145" s="8" t="inlineStr">
        <is>
          <t>Silver State Plumbing &amp; Drain LLC</t>
        </is>
      </c>
      <c r="B145" s="9" t="inlineStr">
        <is>
          <t>HVAC/Plumbing</t>
        </is>
      </c>
      <c r="C145" s="10" t="n">
        <v>45</v>
      </c>
      <c r="D145" s="8" t="inlineStr">
        <is>
          <t>Ford Transit 350</t>
        </is>
      </c>
      <c r="E145" s="8" t="inlineStr">
        <is>
          <t>Charles Martinez</t>
        </is>
      </c>
      <c r="F145" s="8" t="inlineStr">
        <is>
          <t>charles@silverstateplumbingdrainllc.com</t>
        </is>
      </c>
      <c r="G145" s="8" t="inlineStr">
        <is>
          <t>702-555-6375</t>
        </is>
      </c>
      <c r="H145" s="9" t="inlineStr">
        <is>
          <t>DOT25726</t>
        </is>
      </c>
      <c r="I145" s="11" t="n">
        <v>0.042</v>
      </c>
      <c r="J145" s="8" t="inlineStr">
        <is>
          <t>Transit 114°F Electrical Module Overheat Wire Ground Fire Risk</t>
        </is>
      </c>
      <c r="K145" s="9" t="inlineStr">
        <is>
          <t>Warm Prospect</t>
        </is>
      </c>
      <c r="L145" s="12">
        <f>IF(C145&gt;0, 99 + (C145 * 2.5), 0)</f>
        <v/>
      </c>
    </row>
    <row r="146">
      <c r="A146" s="13" t="inlineStr">
        <is>
          <t>Red Rock Comfort Heating Group</t>
        </is>
      </c>
      <c r="B146" s="14" t="inlineStr">
        <is>
          <t>HVAC/Plumbing</t>
        </is>
      </c>
      <c r="C146" s="15" t="n">
        <v>138</v>
      </c>
      <c r="D146" s="13" t="inlineStr">
        <is>
          <t>Ford Transit 350</t>
        </is>
      </c>
      <c r="E146" s="13" t="inlineStr">
        <is>
          <t>Andrew Lopez</t>
        </is>
      </c>
      <c r="F146" s="13" t="inlineStr">
        <is>
          <t>andrew@redrockcomfortheatinggroup.com</t>
        </is>
      </c>
      <c r="G146" s="13" t="inlineStr">
        <is>
          <t>702-555-2180</t>
        </is>
      </c>
      <c r="H146" s="14" t="inlineStr">
        <is>
          <t>DOT62044</t>
        </is>
      </c>
      <c r="I146" s="16" t="n">
        <v>0.307</v>
      </c>
      <c r="J146" s="13" t="inlineStr">
        <is>
          <t>Transit 114°F Electrical Module Overheat Wire Ground Fire Risk</t>
        </is>
      </c>
      <c r="K146" s="14" t="inlineStr">
        <is>
          <t>Warm Prospect</t>
        </is>
      </c>
      <c r="L146" s="17">
        <f>IF(C146&gt;0, 99 + (C146 * 2.5), 0)</f>
        <v/>
      </c>
    </row>
    <row r="147">
      <c r="A147" s="8" t="inlineStr">
        <is>
          <t>Silver State Wiring Solutions Inc</t>
        </is>
      </c>
      <c r="B147" s="9" t="inlineStr">
        <is>
          <t>Electrical Services</t>
        </is>
      </c>
      <c r="C147" s="10" t="n">
        <v>119</v>
      </c>
      <c r="D147" s="8" t="inlineStr">
        <is>
          <t>Ram ProMaster 2500</t>
        </is>
      </c>
      <c r="E147" s="8" t="inlineStr">
        <is>
          <t>Joshua Gonzalez</t>
        </is>
      </c>
      <c r="F147" s="8" t="inlineStr">
        <is>
          <t>joshua@silverstatewiringsolutionsinc.com</t>
        </is>
      </c>
      <c r="G147" s="8" t="inlineStr">
        <is>
          <t>702-555-7843</t>
        </is>
      </c>
      <c r="H147" s="9" t="inlineStr">
        <is>
          <t>DOT47947</t>
        </is>
      </c>
      <c r="I147" s="11" t="n">
        <v>0.076</v>
      </c>
      <c r="J147" s="8" t="inlineStr">
        <is>
          <t>ProMaster Brake Line Rubbing Collision Abrasion Leak</t>
        </is>
      </c>
      <c r="K147" s="9" t="inlineStr">
        <is>
          <t>Warm Prospect</t>
        </is>
      </c>
      <c r="L147" s="12">
        <f>IF(C147&gt;0, 99 + (C147 * 2.5), 0)</f>
        <v/>
      </c>
    </row>
    <row r="148">
      <c r="A148" s="13" t="inlineStr">
        <is>
          <t>Red Rock Lighting &amp; Power LLC</t>
        </is>
      </c>
      <c r="B148" s="14" t="inlineStr">
        <is>
          <t>Electrical Services</t>
        </is>
      </c>
      <c r="C148" s="15" t="n">
        <v>32</v>
      </c>
      <c r="D148" s="13" t="inlineStr">
        <is>
          <t>Ram ProMaster 2500</t>
        </is>
      </c>
      <c r="E148" s="13" t="inlineStr">
        <is>
          <t>Mark Brown</t>
        </is>
      </c>
      <c r="F148" s="13" t="inlineStr">
        <is>
          <t>mark@redrocklightingpowerllc.com</t>
        </is>
      </c>
      <c r="G148" s="13" t="inlineStr">
        <is>
          <t>702-555-4986</t>
        </is>
      </c>
      <c r="H148" s="14" t="inlineStr">
        <is>
          <t>DOT67104</t>
        </is>
      </c>
      <c r="I148" s="16" t="n">
        <v>0.223</v>
      </c>
      <c r="J148" s="13" t="inlineStr">
        <is>
          <t>ProMaster Brake Line Rubbing Collision Abrasion Leak</t>
        </is>
      </c>
      <c r="K148" s="14" t="inlineStr">
        <is>
          <t>Audit Run</t>
        </is>
      </c>
      <c r="L148" s="17">
        <f>IF(C148&gt;0, 99 + (C148 * 2.5), 0)</f>
        <v/>
      </c>
    </row>
    <row r="149">
      <c r="A149" s="8" t="inlineStr">
        <is>
          <t>Titan HVAC Services Group</t>
        </is>
      </c>
      <c r="B149" s="9" t="inlineStr">
        <is>
          <t>HVAC/Plumbing</t>
        </is>
      </c>
      <c r="C149" s="10" t="n">
        <v>66</v>
      </c>
      <c r="D149" s="8" t="inlineStr">
        <is>
          <t>Ford Transit 150</t>
        </is>
      </c>
      <c r="E149" s="8" t="inlineStr">
        <is>
          <t>Daniel Garcia</t>
        </is>
      </c>
      <c r="F149" s="8" t="inlineStr">
        <is>
          <t>daniel@titanhvacservicesgroup.com</t>
        </is>
      </c>
      <c r="G149" s="8" t="inlineStr">
        <is>
          <t>702-555-2251</t>
        </is>
      </c>
      <c r="H149" s="9" t="inlineStr">
        <is>
          <t>DOT76910</t>
        </is>
      </c>
      <c r="I149" s="11" t="n">
        <v>0.236</v>
      </c>
      <c r="J149" s="8" t="inlineStr">
        <is>
          <t>Transit 114°F Electrical Module Overheat Wire Ground Fire Risk</t>
        </is>
      </c>
      <c r="K149" s="9" t="inlineStr">
        <is>
          <t>Audit Run</t>
        </is>
      </c>
      <c r="L149" s="12">
        <f>IF(C149&gt;0, 99 + (C149 * 2.5), 0)</f>
        <v/>
      </c>
    </row>
    <row r="150">
      <c r="A150" s="13" t="inlineStr">
        <is>
          <t>Sunset Chauffeurs LLC</t>
        </is>
      </c>
      <c r="B150" s="14" t="inlineStr">
        <is>
          <t>Boutique Transit</t>
        </is>
      </c>
      <c r="C150" s="15" t="n">
        <v>47</v>
      </c>
      <c r="D150" s="13" t="inlineStr">
        <is>
          <t>Ford Transit 350</t>
        </is>
      </c>
      <c r="E150" s="13" t="inlineStr">
        <is>
          <t>Thomas Brown</t>
        </is>
      </c>
      <c r="F150" s="13" t="inlineStr">
        <is>
          <t>thomas@sunsetchauffeursllc.com</t>
        </is>
      </c>
      <c r="G150" s="13" t="inlineStr">
        <is>
          <t>702-555-3399</t>
        </is>
      </c>
      <c r="H150" s="14" t="inlineStr">
        <is>
          <t>DOT43550</t>
        </is>
      </c>
      <c r="I150" s="16" t="n">
        <v>0.101</v>
      </c>
      <c r="J150" s="13" t="inlineStr">
        <is>
          <t>Transit 114°F Electrical Module Overheat Wire Ground Fire Risk</t>
        </is>
      </c>
      <c r="K150" s="14" t="inlineStr">
        <is>
          <t>Audit Run</t>
        </is>
      </c>
      <c r="L150" s="17">
        <f>IF(C150&gt;0, 99 + (C150 * 2.5), 0)</f>
        <v/>
      </c>
    </row>
    <row r="151">
      <c r="A151" s="8" t="inlineStr">
        <is>
          <t>Henderson Mechanical Services Inc</t>
        </is>
      </c>
      <c r="B151" s="9" t="inlineStr">
        <is>
          <t>HVAC/Plumbing</t>
        </is>
      </c>
      <c r="C151" s="10" t="n">
        <v>136</v>
      </c>
      <c r="D151" s="8" t="inlineStr">
        <is>
          <t>Ford Transit 350</t>
        </is>
      </c>
      <c r="E151" s="8" t="inlineStr">
        <is>
          <t>Donald Jackson</t>
        </is>
      </c>
      <c r="F151" s="8" t="inlineStr">
        <is>
          <t>donald@hendersonmechanicalservicesinc.com</t>
        </is>
      </c>
      <c r="G151" s="8" t="inlineStr">
        <is>
          <t>702-555-8354</t>
        </is>
      </c>
      <c r="H151" s="9" t="inlineStr">
        <is>
          <t>DOT99277</t>
        </is>
      </c>
      <c r="I151" s="11" t="n">
        <v>0.326</v>
      </c>
      <c r="J151" s="8" t="inlineStr">
        <is>
          <t>Transit 114°F Electrical Module Overheat Wire Ground Fire Risk</t>
        </is>
      </c>
      <c r="K151" s="9" t="inlineStr">
        <is>
          <t>Audit Run</t>
        </is>
      </c>
      <c r="L151" s="12">
        <f>IF(C151&gt;0, 99 + (C151 * 2.5), 0)</f>
        <v/>
      </c>
    </row>
    <row r="152">
      <c r="A152" s="13" t="inlineStr">
        <is>
          <t>Vegas Valley Logistics LLC</t>
        </is>
      </c>
      <c r="B152" s="14" t="inlineStr">
        <is>
          <t>Boutique Transit</t>
        </is>
      </c>
      <c r="C152" s="15" t="n">
        <v>90</v>
      </c>
      <c r="D152" s="13" t="inlineStr">
        <is>
          <t>Ford Transit 350</t>
        </is>
      </c>
      <c r="E152" s="13" t="inlineStr">
        <is>
          <t>David Anderson</t>
        </is>
      </c>
      <c r="F152" s="13" t="inlineStr">
        <is>
          <t>david@vegasvalleylogisticsllc.com</t>
        </is>
      </c>
      <c r="G152" s="13" t="inlineStr">
        <is>
          <t>702-555-2118</t>
        </is>
      </c>
      <c r="H152" s="14" t="inlineStr">
        <is>
          <t>DOT71462</t>
        </is>
      </c>
      <c r="I152" s="16" t="n">
        <v>0.177</v>
      </c>
      <c r="J152" s="13" t="inlineStr">
        <is>
          <t>Transit 114°F Electrical Module Overheat Wire Ground Fire Risk</t>
        </is>
      </c>
      <c r="K152" s="14" t="inlineStr">
        <is>
          <t>Warm Prospect</t>
        </is>
      </c>
      <c r="L152" s="17">
        <f>IF(C152&gt;0, 99 + (C152 * 2.5), 0)</f>
        <v/>
      </c>
    </row>
    <row r="153">
      <c r="A153" s="8" t="inlineStr">
        <is>
          <t>Las Vegas Electric &amp; Solar LLC</t>
        </is>
      </c>
      <c r="B153" s="9" t="inlineStr">
        <is>
          <t>Electrical Services</t>
        </is>
      </c>
      <c r="C153" s="10" t="n">
        <v>89</v>
      </c>
      <c r="D153" s="8" t="inlineStr">
        <is>
          <t>Chevy Express 2500</t>
        </is>
      </c>
      <c r="E153" s="8" t="inlineStr">
        <is>
          <t>Donald Anderson</t>
        </is>
      </c>
      <c r="F153" s="8" t="inlineStr">
        <is>
          <t>donald@lasvegaselectricsolarllc.com</t>
        </is>
      </c>
      <c r="G153" s="8" t="inlineStr">
        <is>
          <t>702-555-1616</t>
        </is>
      </c>
      <c r="H153" s="9" t="inlineStr">
        <is>
          <t>DOT17456</t>
        </is>
      </c>
      <c r="I153" s="11" t="n">
        <v>0.154</v>
      </c>
      <c r="J153" s="8" t="inlineStr">
        <is>
          <t>Express Engine Bay Hose Thermal Crack Hazard</t>
        </is>
      </c>
      <c r="K153" s="9" t="inlineStr">
        <is>
          <t>Warm Prospect</t>
        </is>
      </c>
      <c r="L153" s="12">
        <f>IF(C153&gt;0, 99 + (C153 * 2.5), 0)</f>
        <v/>
      </c>
    </row>
    <row r="154">
      <c r="A154" s="13" t="inlineStr">
        <is>
          <t>Vegas Valley Air Conditioning Group</t>
        </is>
      </c>
      <c r="B154" s="14" t="inlineStr">
        <is>
          <t>HVAC/Plumbing</t>
        </is>
      </c>
      <c r="C154" s="15" t="n">
        <v>139</v>
      </c>
      <c r="D154" s="13" t="inlineStr">
        <is>
          <t>Chevy Express 2500</t>
        </is>
      </c>
      <c r="E154" s="13" t="inlineStr">
        <is>
          <t>Anthony Anderson</t>
        </is>
      </c>
      <c r="F154" s="13" t="inlineStr">
        <is>
          <t>anthony@vegasvalleyairconditioninggroup.com</t>
        </is>
      </c>
      <c r="G154" s="13" t="inlineStr">
        <is>
          <t>702-555-1672</t>
        </is>
      </c>
      <c r="H154" s="14" t="inlineStr">
        <is>
          <t>DOT68947</t>
        </is>
      </c>
      <c r="I154" s="16" t="n">
        <v>0.322</v>
      </c>
      <c r="J154" s="13" t="inlineStr">
        <is>
          <t>Express Engine Bay Hose Thermal Crack Hazard</t>
        </is>
      </c>
      <c r="K154" s="14" t="inlineStr">
        <is>
          <t>Audit Run</t>
        </is>
      </c>
      <c r="L154" s="17">
        <f>IF(C154&gt;0, 99 + (C154 * 2.5), 0)</f>
        <v/>
      </c>
    </row>
    <row r="155">
      <c r="A155" s="8" t="inlineStr">
        <is>
          <t>Sunset Chauffeurs Group</t>
        </is>
      </c>
      <c r="B155" s="9" t="inlineStr">
        <is>
          <t>Boutique Transit</t>
        </is>
      </c>
      <c r="C155" s="10" t="n">
        <v>138</v>
      </c>
      <c r="D155" s="8" t="inlineStr">
        <is>
          <t>Mercedes-Benz Sprinter 3500</t>
        </is>
      </c>
      <c r="E155" s="8" t="inlineStr">
        <is>
          <t>David Johnson</t>
        </is>
      </c>
      <c r="F155" s="8" t="inlineStr">
        <is>
          <t>david@sunsetchauffeursgroup.com</t>
        </is>
      </c>
      <c r="G155" s="8" t="inlineStr">
        <is>
          <t>702-555-8381</t>
        </is>
      </c>
      <c r="H155" s="9" t="inlineStr">
        <is>
          <t>DOT23566</t>
        </is>
      </c>
      <c r="I155" s="11" t="n">
        <v>0.291</v>
      </c>
      <c r="J155" s="8" t="inlineStr">
        <is>
          <t>Sprinter AC Comp Condensation Drain Backup Wiring Short</t>
        </is>
      </c>
      <c r="K155" s="9" t="inlineStr">
        <is>
          <t>Warm Prospect</t>
        </is>
      </c>
      <c r="L155" s="12">
        <f>IF(C155&gt;0, 99 + (C155 * 2.5), 0)</f>
        <v/>
      </c>
    </row>
    <row r="156">
      <c r="A156" s="13" t="inlineStr">
        <is>
          <t>Apex Logistics Group</t>
        </is>
      </c>
      <c r="B156" s="14" t="inlineStr">
        <is>
          <t>Boutique Transit</t>
        </is>
      </c>
      <c r="C156" s="15" t="n">
        <v>20</v>
      </c>
      <c r="D156" s="13" t="inlineStr">
        <is>
          <t>Mercedes-Benz Sprinter 2500</t>
        </is>
      </c>
      <c r="E156" s="13" t="inlineStr">
        <is>
          <t>Thomas Anderson</t>
        </is>
      </c>
      <c r="F156" s="13" t="inlineStr">
        <is>
          <t>thomas@apexlogisticsgroup.com</t>
        </is>
      </c>
      <c r="G156" s="13" t="inlineStr">
        <is>
          <t>702-555-8199</t>
        </is>
      </c>
      <c r="H156" s="14" t="inlineStr">
        <is>
          <t>DOT78690</t>
        </is>
      </c>
      <c r="I156" s="16" t="n">
        <v>0.202</v>
      </c>
      <c r="J156" s="13" t="inlineStr">
        <is>
          <t>Sprinter AC Comp Condensation Drain Backup Wiring Short</t>
        </is>
      </c>
      <c r="K156" s="14" t="inlineStr">
        <is>
          <t>Warm Prospect</t>
        </is>
      </c>
      <c r="L156" s="17">
        <f>IF(C156&gt;0, 99 + (C156 * 2.5), 0)</f>
        <v/>
      </c>
    </row>
    <row r="157">
      <c r="A157" s="8" t="inlineStr">
        <is>
          <t>Valley Electrical Contractors LLC</t>
        </is>
      </c>
      <c r="B157" s="9" t="inlineStr">
        <is>
          <t>Electrical Services</t>
        </is>
      </c>
      <c r="C157" s="10" t="n">
        <v>96</v>
      </c>
      <c r="D157" s="8" t="inlineStr">
        <is>
          <t>Ram ProMaster 1500</t>
        </is>
      </c>
      <c r="E157" s="8" t="inlineStr">
        <is>
          <t>Kenneth Johnson</t>
        </is>
      </c>
      <c r="F157" s="8" t="inlineStr">
        <is>
          <t>kenneth@valleyelectricalcontractorsllc.com</t>
        </is>
      </c>
      <c r="G157" s="8" t="inlineStr">
        <is>
          <t>702-555-6482</t>
        </is>
      </c>
      <c r="H157" s="9" t="inlineStr">
        <is>
          <t>DOT18639</t>
        </is>
      </c>
      <c r="I157" s="11" t="n">
        <v>0.142</v>
      </c>
      <c r="J157" s="8" t="inlineStr">
        <is>
          <t>ProMaster Brake Line Rubbing Collision Abrasion Leak</t>
        </is>
      </c>
      <c r="K157" s="9" t="inlineStr">
        <is>
          <t>Audit Run</t>
        </is>
      </c>
      <c r="L157" s="12">
        <f>IF(C157&gt;0, 99 + (C157 * 2.5), 0)</f>
        <v/>
      </c>
    </row>
    <row r="158">
      <c r="A158" s="13" t="inlineStr">
        <is>
          <t>Titan Chauffeurs LLC</t>
        </is>
      </c>
      <c r="B158" s="14" t="inlineStr">
        <is>
          <t>Boutique Transit</t>
        </is>
      </c>
      <c r="C158" s="15" t="n">
        <v>48</v>
      </c>
      <c r="D158" s="13" t="inlineStr">
        <is>
          <t>Ford Transit 350</t>
        </is>
      </c>
      <c r="E158" s="13" t="inlineStr">
        <is>
          <t>Daniel Williams</t>
        </is>
      </c>
      <c r="F158" s="13" t="inlineStr">
        <is>
          <t>daniel@titanchauffeursllc.com</t>
        </is>
      </c>
      <c r="G158" s="13" t="inlineStr">
        <is>
          <t>702-555-3317</t>
        </is>
      </c>
      <c r="H158" s="14" t="inlineStr">
        <is>
          <t>DOT55851</t>
        </is>
      </c>
      <c r="I158" s="16" t="n">
        <v>0.136</v>
      </c>
      <c r="J158" s="13" t="inlineStr">
        <is>
          <t>Transit 114°F Electrical Module Overheat Wire Ground Fire Risk</t>
        </is>
      </c>
      <c r="K158" s="14" t="inlineStr">
        <is>
          <t>Warm Prospect</t>
        </is>
      </c>
      <c r="L158" s="17">
        <f>IF(C158&gt;0, 99 + (C158 * 2.5), 0)</f>
        <v/>
      </c>
    </row>
    <row r="159">
      <c r="A159" s="8" t="inlineStr">
        <is>
          <t>Las Vegas Mechanical Services Inc</t>
        </is>
      </c>
      <c r="B159" s="9" t="inlineStr">
        <is>
          <t>HVAC/Plumbing</t>
        </is>
      </c>
      <c r="C159" s="10" t="n">
        <v>106</v>
      </c>
      <c r="D159" s="8" t="inlineStr">
        <is>
          <t>Ford Transit 150</t>
        </is>
      </c>
      <c r="E159" s="8" t="inlineStr">
        <is>
          <t>Daniel Jones</t>
        </is>
      </c>
      <c r="F159" s="8" t="inlineStr">
        <is>
          <t>daniel@lasvegasmechanicalservicesinc.com</t>
        </is>
      </c>
      <c r="G159" s="8" t="inlineStr">
        <is>
          <t>702-555-9624</t>
        </is>
      </c>
      <c r="H159" s="9" t="inlineStr">
        <is>
          <t>DOT22249</t>
        </is>
      </c>
      <c r="I159" s="11" t="n">
        <v>0.24</v>
      </c>
      <c r="J159" s="8" t="inlineStr">
        <is>
          <t>Transit 114°F Electrical Module Overheat Wire Ground Fire Risk</t>
        </is>
      </c>
      <c r="K159" s="9" t="inlineStr">
        <is>
          <t>Warm Prospect</t>
        </is>
      </c>
      <c r="L159" s="12">
        <f>IF(C159&gt;0, 99 + (C159 * 2.5), 0)</f>
        <v/>
      </c>
    </row>
    <row r="160">
      <c r="A160" s="13" t="inlineStr">
        <is>
          <t>Valley Shuttles LLC</t>
        </is>
      </c>
      <c r="B160" s="14" t="inlineStr">
        <is>
          <t>Boutique Transit</t>
        </is>
      </c>
      <c r="C160" s="15" t="n">
        <v>56</v>
      </c>
      <c r="D160" s="13" t="inlineStr">
        <is>
          <t>Mercedes-Benz Sprinter 3500</t>
        </is>
      </c>
      <c r="E160" s="13" t="inlineStr">
        <is>
          <t>Richard Hernandez</t>
        </is>
      </c>
      <c r="F160" s="13" t="inlineStr">
        <is>
          <t>richard@valleyshuttlesllc.com</t>
        </is>
      </c>
      <c r="G160" s="13" t="inlineStr">
        <is>
          <t>702-555-8967</t>
        </is>
      </c>
      <c r="H160" s="14" t="inlineStr">
        <is>
          <t>DOT35166</t>
        </is>
      </c>
      <c r="I160" s="16" t="n">
        <v>0.11</v>
      </c>
      <c r="J160" s="13" t="inlineStr">
        <is>
          <t>Sprinter AC Comp Condensation Drain Backup Wiring Short</t>
        </is>
      </c>
      <c r="K160" s="14" t="inlineStr">
        <is>
          <t>Warm Prospect</t>
        </is>
      </c>
      <c r="L160" s="17">
        <f>IF(C160&gt;0, 99 + (C160 * 2.5), 0)</f>
        <v/>
      </c>
    </row>
    <row r="161">
      <c r="A161" s="8" t="inlineStr">
        <is>
          <t>Apex HVAC Services Inc</t>
        </is>
      </c>
      <c r="B161" s="9" t="inlineStr">
        <is>
          <t>HVAC/Plumbing</t>
        </is>
      </c>
      <c r="C161" s="10" t="n">
        <v>148</v>
      </c>
      <c r="D161" s="8" t="inlineStr">
        <is>
          <t>Chevy Express 2500</t>
        </is>
      </c>
      <c r="E161" s="8" t="inlineStr">
        <is>
          <t>Paul Johnson</t>
        </is>
      </c>
      <c r="F161" s="8" t="inlineStr">
        <is>
          <t>paul@apexhvacservicesinc.com</t>
        </is>
      </c>
      <c r="G161" s="8" t="inlineStr">
        <is>
          <t>702-555-6517</t>
        </is>
      </c>
      <c r="H161" s="9" t="inlineStr">
        <is>
          <t>DOT91006</t>
        </is>
      </c>
      <c r="I161" s="11" t="n">
        <v>0.081</v>
      </c>
      <c r="J161" s="8" t="inlineStr">
        <is>
          <t>Express Engine Bay Hose Thermal Crack Hazard</t>
        </is>
      </c>
      <c r="K161" s="9" t="inlineStr">
        <is>
          <t>Warm Prospect</t>
        </is>
      </c>
      <c r="L161" s="12">
        <f>IF(C161&gt;0, 99 + (C161 * 2.5), 0)</f>
        <v/>
      </c>
    </row>
    <row r="162">
      <c r="A162" s="13" t="inlineStr">
        <is>
          <t>Red Rock Plumbing &amp; Drain Group</t>
        </is>
      </c>
      <c r="B162" s="14" t="inlineStr">
        <is>
          <t>HVAC/Plumbing</t>
        </is>
      </c>
      <c r="C162" s="15" t="n">
        <v>52</v>
      </c>
      <c r="D162" s="13" t="inlineStr">
        <is>
          <t>Chevy Express 2500</t>
        </is>
      </c>
      <c r="E162" s="13" t="inlineStr">
        <is>
          <t>Donald Johnson</t>
        </is>
      </c>
      <c r="F162" s="13" t="inlineStr">
        <is>
          <t>donald@redrockplumbingdraingroup.com</t>
        </is>
      </c>
      <c r="G162" s="13" t="inlineStr">
        <is>
          <t>702-555-7731</t>
        </is>
      </c>
      <c r="H162" s="14" t="inlineStr">
        <is>
          <t>DOT57749</t>
        </is>
      </c>
      <c r="I162" s="16" t="n">
        <v>0.25</v>
      </c>
      <c r="J162" s="13" t="inlineStr">
        <is>
          <t>Express Engine Bay Hose Thermal Crack Hazard</t>
        </is>
      </c>
      <c r="K162" s="14" t="inlineStr">
        <is>
          <t>Warm Prospect</t>
        </is>
      </c>
      <c r="L162" s="17">
        <f>IF(C162&gt;0, 99 + (C162 * 2.5), 0)</f>
        <v/>
      </c>
    </row>
    <row r="163">
      <c r="A163" s="8" t="inlineStr">
        <is>
          <t>Las Vegas Electrical Contractors Group</t>
        </is>
      </c>
      <c r="B163" s="9" t="inlineStr">
        <is>
          <t>Electrical Services</t>
        </is>
      </c>
      <c r="C163" s="10" t="n">
        <v>69</v>
      </c>
      <c r="D163" s="8" t="inlineStr">
        <is>
          <t>Ram ProMaster 1500</t>
        </is>
      </c>
      <c r="E163" s="8" t="inlineStr">
        <is>
          <t>Andrew Davis</t>
        </is>
      </c>
      <c r="F163" s="8" t="inlineStr">
        <is>
          <t>andrew@lasvegaselectricalcontractorsgroup.com</t>
        </is>
      </c>
      <c r="G163" s="8" t="inlineStr">
        <is>
          <t>702-555-6070</t>
        </is>
      </c>
      <c r="H163" s="9" t="inlineStr">
        <is>
          <t>DOT71474</t>
        </is>
      </c>
      <c r="I163" s="11" t="n">
        <v>0.32</v>
      </c>
      <c r="J163" s="8" t="inlineStr">
        <is>
          <t>ProMaster Brake Line Rubbing Collision Abrasion Leak</t>
        </is>
      </c>
      <c r="K163" s="9" t="inlineStr">
        <is>
          <t>Warm Prospect</t>
        </is>
      </c>
      <c r="L163" s="12">
        <f>IF(C163&gt;0, 99 + (C163 * 2.5), 0)</f>
        <v/>
      </c>
    </row>
    <row r="164">
      <c r="A164" s="13" t="inlineStr">
        <is>
          <t>Vegas Valley Lighting &amp; Power LLC</t>
        </is>
      </c>
      <c r="B164" s="14" t="inlineStr">
        <is>
          <t>Electrical Services</t>
        </is>
      </c>
      <c r="C164" s="15" t="n">
        <v>82</v>
      </c>
      <c r="D164" s="13" t="inlineStr">
        <is>
          <t>Ram ProMaster 1500</t>
        </is>
      </c>
      <c r="E164" s="13" t="inlineStr">
        <is>
          <t>Anthony Taylor</t>
        </is>
      </c>
      <c r="F164" s="13" t="inlineStr">
        <is>
          <t>anthony@vegasvalleylightingpowerllc.com</t>
        </is>
      </c>
      <c r="G164" s="13" t="inlineStr">
        <is>
          <t>702-555-9641</t>
        </is>
      </c>
      <c r="H164" s="14" t="inlineStr">
        <is>
          <t>DOT64874</t>
        </is>
      </c>
      <c r="I164" s="16" t="n">
        <v>0.34</v>
      </c>
      <c r="J164" s="13" t="inlineStr">
        <is>
          <t>ProMaster Brake Line Rubbing Collision Abrasion Leak</t>
        </is>
      </c>
      <c r="K164" s="14" t="inlineStr">
        <is>
          <t>Warm Prospect</t>
        </is>
      </c>
      <c r="L164" s="17">
        <f>IF(C164&gt;0, 99 + (C164 * 2.5), 0)</f>
        <v/>
      </c>
    </row>
    <row r="165">
      <c r="A165" s="8" t="inlineStr">
        <is>
          <t>Red Rock Chauffeurs Inc</t>
        </is>
      </c>
      <c r="B165" s="9" t="inlineStr">
        <is>
          <t>Boutique Transit</t>
        </is>
      </c>
      <c r="C165" s="10" t="n">
        <v>133</v>
      </c>
      <c r="D165" s="8" t="inlineStr">
        <is>
          <t>Ford Transit 350</t>
        </is>
      </c>
      <c r="E165" s="8" t="inlineStr">
        <is>
          <t>Matthew Moore</t>
        </is>
      </c>
      <c r="F165" s="8" t="inlineStr">
        <is>
          <t>matthew@redrockchauffeursinc.com</t>
        </is>
      </c>
      <c r="G165" s="8" t="inlineStr">
        <is>
          <t>702-555-2680</t>
        </is>
      </c>
      <c r="H165" s="9" t="inlineStr">
        <is>
          <t>DOT77621</t>
        </is>
      </c>
      <c r="I165" s="11" t="n">
        <v>0.304</v>
      </c>
      <c r="J165" s="8" t="inlineStr">
        <is>
          <t>Transit 114°F Electrical Module Overheat Wire Ground Fire Risk</t>
        </is>
      </c>
      <c r="K165" s="9" t="inlineStr">
        <is>
          <t>Warm Prospect</t>
        </is>
      </c>
      <c r="L165" s="12">
        <f>IF(C165&gt;0, 99 + (C165 * 2.5), 0)</f>
        <v/>
      </c>
    </row>
    <row r="166">
      <c r="A166" s="13" t="inlineStr">
        <is>
          <t>Henderson Plumbing &amp; Drain LLC</t>
        </is>
      </c>
      <c r="B166" s="14" t="inlineStr">
        <is>
          <t>HVAC/Plumbing</t>
        </is>
      </c>
      <c r="C166" s="15" t="n">
        <v>141</v>
      </c>
      <c r="D166" s="13" t="inlineStr">
        <is>
          <t>GMC Savana 2500</t>
        </is>
      </c>
      <c r="E166" s="13" t="inlineStr">
        <is>
          <t>David Wilson</t>
        </is>
      </c>
      <c r="F166" s="13" t="inlineStr">
        <is>
          <t>david@hendersonplumbingdrainllc.com</t>
        </is>
      </c>
      <c r="G166" s="13" t="inlineStr">
        <is>
          <t>702-555-2502</t>
        </is>
      </c>
      <c r="H166" s="14" t="inlineStr">
        <is>
          <t>DOT39102</t>
        </is>
      </c>
      <c r="I166" s="16" t="n">
        <v>0.293</v>
      </c>
      <c r="J166" s="13" t="inlineStr">
        <is>
          <t>Savana Desert Fuel Line Seal Degradation Failure</t>
        </is>
      </c>
      <c r="K166" s="14" t="inlineStr">
        <is>
          <t>Warm Prospect</t>
        </is>
      </c>
      <c r="L166" s="17">
        <f>IF(C166&gt;0, 99 + (C166 * 2.5), 0)</f>
        <v/>
      </c>
    </row>
    <row r="167">
      <c r="A167" s="8" t="inlineStr">
        <is>
          <t>Titan Air Conditioning LLC</t>
        </is>
      </c>
      <c r="B167" s="9" t="inlineStr">
        <is>
          <t>HVAC/Plumbing</t>
        </is>
      </c>
      <c r="C167" s="10" t="n">
        <v>105</v>
      </c>
      <c r="D167" s="8" t="inlineStr">
        <is>
          <t>Chevy Express 2500</t>
        </is>
      </c>
      <c r="E167" s="8" t="inlineStr">
        <is>
          <t>Thomas Gonzalez</t>
        </is>
      </c>
      <c r="F167" s="8" t="inlineStr">
        <is>
          <t>thomas@titanairconditioningllc.com</t>
        </is>
      </c>
      <c r="G167" s="8" t="inlineStr">
        <is>
          <t>702-555-2337</t>
        </is>
      </c>
      <c r="H167" s="9" t="inlineStr">
        <is>
          <t>DOT59140</t>
        </is>
      </c>
      <c r="I167" s="11" t="n">
        <v>0.11</v>
      </c>
      <c r="J167" s="8" t="inlineStr">
        <is>
          <t>Express Engine Bay Hose Thermal Crack Hazard</t>
        </is>
      </c>
      <c r="K167" s="9" t="inlineStr">
        <is>
          <t>Warm Prospect</t>
        </is>
      </c>
      <c r="L167" s="12">
        <f>IF(C167&gt;0, 99 + (C167 * 2.5), 0)</f>
        <v/>
      </c>
    </row>
    <row r="168">
      <c r="A168" s="13" t="inlineStr">
        <is>
          <t>Summerlin Mechanical Services Group</t>
        </is>
      </c>
      <c r="B168" s="14" t="inlineStr">
        <is>
          <t>HVAC/Plumbing</t>
        </is>
      </c>
      <c r="C168" s="15" t="n">
        <v>47</v>
      </c>
      <c r="D168" s="13" t="inlineStr">
        <is>
          <t>Ford Transit 150</t>
        </is>
      </c>
      <c r="E168" s="13" t="inlineStr">
        <is>
          <t>David Johnson</t>
        </is>
      </c>
      <c r="F168" s="13" t="inlineStr">
        <is>
          <t>david@summerlinmechanicalservicesgroup.com</t>
        </is>
      </c>
      <c r="G168" s="13" t="inlineStr">
        <is>
          <t>702-555-5700</t>
        </is>
      </c>
      <c r="H168" s="14" t="inlineStr">
        <is>
          <t>DOT71925</t>
        </is>
      </c>
      <c r="I168" s="16" t="n">
        <v>0.256</v>
      </c>
      <c r="J168" s="13" t="inlineStr">
        <is>
          <t>Transit 114°F Electrical Module Overheat Wire Ground Fire Risk</t>
        </is>
      </c>
      <c r="K168" s="14" t="inlineStr">
        <is>
          <t>Warm Prospect</t>
        </is>
      </c>
      <c r="L168" s="17">
        <f>IF(C168&gt;0, 99 + (C168 * 2.5), 0)</f>
        <v/>
      </c>
    </row>
    <row r="169">
      <c r="A169" s="8" t="inlineStr">
        <is>
          <t>First Choice Tours &amp; Transit Group</t>
        </is>
      </c>
      <c r="B169" s="9" t="inlineStr">
        <is>
          <t>Boutique Transit</t>
        </is>
      </c>
      <c r="C169" s="10" t="n">
        <v>30</v>
      </c>
      <c r="D169" s="8" t="inlineStr">
        <is>
          <t>Mercedes-Benz Sprinter 2500</t>
        </is>
      </c>
      <c r="E169" s="8" t="inlineStr">
        <is>
          <t>John Rodriguez</t>
        </is>
      </c>
      <c r="F169" s="8" t="inlineStr">
        <is>
          <t>john@firstchoicetourstransitgroup.com</t>
        </is>
      </c>
      <c r="G169" s="8" t="inlineStr">
        <is>
          <t>702-555-4533</t>
        </is>
      </c>
      <c r="H169" s="9" t="inlineStr">
        <is>
          <t>DOT29597</t>
        </is>
      </c>
      <c r="I169" s="11" t="n">
        <v>0.21</v>
      </c>
      <c r="J169" s="8" t="inlineStr">
        <is>
          <t>Sprinter AC Comp Condensation Drain Backup Wiring Short</t>
        </is>
      </c>
      <c r="K169" s="9" t="inlineStr">
        <is>
          <t>Audit Run</t>
        </is>
      </c>
      <c r="L169" s="12">
        <f>IF(C169&gt;0, 99 + (C169 * 2.5), 0)</f>
        <v/>
      </c>
    </row>
    <row r="170">
      <c r="A170" s="13" t="inlineStr">
        <is>
          <t>Titan Shuttles LLC</t>
        </is>
      </c>
      <c r="B170" s="14" t="inlineStr">
        <is>
          <t>Boutique Transit</t>
        </is>
      </c>
      <c r="C170" s="15" t="n">
        <v>87</v>
      </c>
      <c r="D170" s="13" t="inlineStr">
        <is>
          <t>Mercedes-Benz Sprinter 2500</t>
        </is>
      </c>
      <c r="E170" s="13" t="inlineStr">
        <is>
          <t>Robert Johnson</t>
        </is>
      </c>
      <c r="F170" s="13" t="inlineStr">
        <is>
          <t>robert@titanshuttlesllc.com</t>
        </is>
      </c>
      <c r="G170" s="13" t="inlineStr">
        <is>
          <t>702-555-4906</t>
        </is>
      </c>
      <c r="H170" s="14" t="inlineStr">
        <is>
          <t>DOT65027</t>
        </is>
      </c>
      <c r="I170" s="16" t="n">
        <v>0.238</v>
      </c>
      <c r="J170" s="13" t="inlineStr">
        <is>
          <t>Sprinter AC Comp Condensation Drain Backup Wiring Short</t>
        </is>
      </c>
      <c r="K170" s="14" t="inlineStr">
        <is>
          <t>Audit Run</t>
        </is>
      </c>
      <c r="L170" s="17">
        <f>IF(C170&gt;0, 99 + (C170 * 2.5), 0)</f>
        <v/>
      </c>
    </row>
    <row r="171">
      <c r="A171" s="8" t="inlineStr">
        <is>
          <t>Apex Electric &amp; Solar LLC</t>
        </is>
      </c>
      <c r="B171" s="9" t="inlineStr">
        <is>
          <t>Electrical Services</t>
        </is>
      </c>
      <c r="C171" s="10" t="n">
        <v>141</v>
      </c>
      <c r="D171" s="8" t="inlineStr">
        <is>
          <t>Chevy Express 2500</t>
        </is>
      </c>
      <c r="E171" s="8" t="inlineStr">
        <is>
          <t>Joshua Davis</t>
        </is>
      </c>
      <c r="F171" s="8" t="inlineStr">
        <is>
          <t>joshua@apexelectricsolarllc.com</t>
        </is>
      </c>
      <c r="G171" s="8" t="inlineStr">
        <is>
          <t>702-555-3352</t>
        </is>
      </c>
      <c r="H171" s="9" t="inlineStr">
        <is>
          <t>DOT48177</t>
        </is>
      </c>
      <c r="I171" s="11" t="n">
        <v>0.173</v>
      </c>
      <c r="J171" s="8" t="inlineStr">
        <is>
          <t>Express Engine Bay Hose Thermal Crack Hazard</t>
        </is>
      </c>
      <c r="K171" s="9" t="inlineStr">
        <is>
          <t>Audit Run</t>
        </is>
      </c>
      <c r="L171" s="12">
        <f>IF(C171&gt;0, 99 + (C171 * 2.5), 0)</f>
        <v/>
      </c>
    </row>
    <row r="172">
      <c r="A172" s="13" t="inlineStr">
        <is>
          <t>Sunset Lighting &amp; Power LLC</t>
        </is>
      </c>
      <c r="B172" s="14" t="inlineStr">
        <is>
          <t>Electrical Services</t>
        </is>
      </c>
      <c r="C172" s="15" t="n">
        <v>31</v>
      </c>
      <c r="D172" s="13" t="inlineStr">
        <is>
          <t>Chevy Express 3500</t>
        </is>
      </c>
      <c r="E172" s="13" t="inlineStr">
        <is>
          <t>Paul Lopez</t>
        </is>
      </c>
      <c r="F172" s="13" t="inlineStr">
        <is>
          <t>paul@sunsetlightingpowerllc.com</t>
        </is>
      </c>
      <c r="G172" s="13" t="inlineStr">
        <is>
          <t>702-555-2108</t>
        </is>
      </c>
      <c r="H172" s="14" t="inlineStr">
        <is>
          <t>DOT78951</t>
        </is>
      </c>
      <c r="I172" s="16" t="n">
        <v>0.209</v>
      </c>
      <c r="J172" s="13" t="inlineStr">
        <is>
          <t>Express Engine Bay Hose Thermal Crack Hazard</t>
        </is>
      </c>
      <c r="K172" s="14" t="inlineStr">
        <is>
          <t>Audit Run</t>
        </is>
      </c>
      <c r="L172" s="17">
        <f>IF(C172&gt;0, 99 + (C172 * 2.5), 0)</f>
        <v/>
      </c>
    </row>
    <row r="173">
      <c r="A173" s="8" t="inlineStr">
        <is>
          <t>Silver State Tours &amp; Transit LLC</t>
        </is>
      </c>
      <c r="B173" s="9" t="inlineStr">
        <is>
          <t>Boutique Transit</t>
        </is>
      </c>
      <c r="C173" s="10" t="n">
        <v>109</v>
      </c>
      <c r="D173" s="8" t="inlineStr">
        <is>
          <t>Mercedes-Benz Sprinter 2500</t>
        </is>
      </c>
      <c r="E173" s="8" t="inlineStr">
        <is>
          <t>Matthew Rodriguez</t>
        </is>
      </c>
      <c r="F173" s="8" t="inlineStr">
        <is>
          <t>matthew@silverstatetourstransitllc.com</t>
        </is>
      </c>
      <c r="G173" s="8" t="inlineStr">
        <is>
          <t>702-555-1266</t>
        </is>
      </c>
      <c r="H173" s="9" t="inlineStr">
        <is>
          <t>DOT56805</t>
        </is>
      </c>
      <c r="I173" s="11" t="n">
        <v>0.284</v>
      </c>
      <c r="J173" s="8" t="inlineStr">
        <is>
          <t>Sprinter AC Comp Condensation Drain Backup Wiring Short</t>
        </is>
      </c>
      <c r="K173" s="9" t="inlineStr">
        <is>
          <t>Warm Prospect</t>
        </is>
      </c>
      <c r="L173" s="12">
        <f>IF(C173&gt;0, 99 + (C173 * 2.5), 0)</f>
        <v/>
      </c>
    </row>
    <row r="174">
      <c r="A174" s="13" t="inlineStr">
        <is>
          <t>Clark County Mechanical Services Group</t>
        </is>
      </c>
      <c r="B174" s="14" t="inlineStr">
        <is>
          <t>HVAC/Plumbing</t>
        </is>
      </c>
      <c r="C174" s="15" t="n">
        <v>95</v>
      </c>
      <c r="D174" s="13" t="inlineStr">
        <is>
          <t>Ford Transit 250</t>
        </is>
      </c>
      <c r="E174" s="13" t="inlineStr">
        <is>
          <t>David Johnson</t>
        </is>
      </c>
      <c r="F174" s="13" t="inlineStr">
        <is>
          <t>david@clarkcountymechanicalservicesgroup.com</t>
        </is>
      </c>
      <c r="G174" s="13" t="inlineStr">
        <is>
          <t>702-555-6772</t>
        </is>
      </c>
      <c r="H174" s="14" t="inlineStr">
        <is>
          <t>DOT81567</t>
        </is>
      </c>
      <c r="I174" s="16" t="n">
        <v>0.145</v>
      </c>
      <c r="J174" s="13" t="inlineStr">
        <is>
          <t>Transit 114°F Electrical Module Overheat Wire Ground Fire Risk</t>
        </is>
      </c>
      <c r="K174" s="14" t="inlineStr">
        <is>
          <t>Warm Prospect</t>
        </is>
      </c>
      <c r="L174" s="17">
        <f>IF(C174&gt;0, 99 + (C174 * 2.5), 0)</f>
        <v/>
      </c>
    </row>
    <row r="175">
      <c r="A175" s="8" t="inlineStr">
        <is>
          <t>First Choice Charter Buses LLC</t>
        </is>
      </c>
      <c r="B175" s="9" t="inlineStr">
        <is>
          <t>Boutique Transit</t>
        </is>
      </c>
      <c r="C175" s="10" t="n">
        <v>56</v>
      </c>
      <c r="D175" s="8" t="inlineStr">
        <is>
          <t>Ford Transit 350</t>
        </is>
      </c>
      <c r="E175" s="8" t="inlineStr">
        <is>
          <t>David Williams</t>
        </is>
      </c>
      <c r="F175" s="8" t="inlineStr">
        <is>
          <t>david@firstchoicecharterbusesllc.com</t>
        </is>
      </c>
      <c r="G175" s="8" t="inlineStr">
        <is>
          <t>702-555-8498</t>
        </is>
      </c>
      <c r="H175" s="9" t="inlineStr">
        <is>
          <t>DOT14847</t>
        </is>
      </c>
      <c r="I175" s="11" t="n">
        <v>0.131</v>
      </c>
      <c r="J175" s="8" t="inlineStr">
        <is>
          <t>Transit 114°F Electrical Module Overheat Wire Ground Fire Risk</t>
        </is>
      </c>
      <c r="K175" s="9" t="inlineStr">
        <is>
          <t>Warm Prospect</t>
        </is>
      </c>
      <c r="L175" s="12">
        <f>IF(C175&gt;0, 99 + (C175 * 2.5), 0)</f>
        <v/>
      </c>
    </row>
    <row r="176">
      <c r="A176" s="13" t="inlineStr">
        <is>
          <t>Spring Valley Air Conditioning LLC</t>
        </is>
      </c>
      <c r="B176" s="14" t="inlineStr">
        <is>
          <t>HVAC/Plumbing</t>
        </is>
      </c>
      <c r="C176" s="15" t="n">
        <v>141</v>
      </c>
      <c r="D176" s="13" t="inlineStr">
        <is>
          <t>Ford Transit 150</t>
        </is>
      </c>
      <c r="E176" s="13" t="inlineStr">
        <is>
          <t>Anthony Moore</t>
        </is>
      </c>
      <c r="F176" s="13" t="inlineStr">
        <is>
          <t>anthony@springvalleyairconditioningllc.com</t>
        </is>
      </c>
      <c r="G176" s="13" t="inlineStr">
        <is>
          <t>702-555-8756</t>
        </is>
      </c>
      <c r="H176" s="14" t="inlineStr">
        <is>
          <t>DOT43202</t>
        </is>
      </c>
      <c r="I176" s="16" t="n">
        <v>0.051</v>
      </c>
      <c r="J176" s="13" t="inlineStr">
        <is>
          <t>Transit 114°F Electrical Module Overheat Wire Ground Fire Risk</t>
        </is>
      </c>
      <c r="K176" s="14" t="inlineStr">
        <is>
          <t>Warm Prospect</t>
        </is>
      </c>
      <c r="L176" s="17">
        <f>IF(C176&gt;0, 99 + (C176 * 2.5), 0)</f>
        <v/>
      </c>
    </row>
    <row r="177">
      <c r="A177" s="8" t="inlineStr">
        <is>
          <t>Valley Electric &amp; Solar Group</t>
        </is>
      </c>
      <c r="B177" s="9" t="inlineStr">
        <is>
          <t>Electrical Services</t>
        </is>
      </c>
      <c r="C177" s="10" t="n">
        <v>79</v>
      </c>
      <c r="D177" s="8" t="inlineStr">
        <is>
          <t>Ram ProMaster 2500</t>
        </is>
      </c>
      <c r="E177" s="8" t="inlineStr">
        <is>
          <t>Robert Lopez</t>
        </is>
      </c>
      <c r="F177" s="8" t="inlineStr">
        <is>
          <t>robert@valleyelectricsolargroup.com</t>
        </is>
      </c>
      <c r="G177" s="8" t="inlineStr">
        <is>
          <t>702-555-8159</t>
        </is>
      </c>
      <c r="H177" s="9" t="inlineStr">
        <is>
          <t>DOT62431</t>
        </is>
      </c>
      <c r="I177" s="11" t="n">
        <v>0.27</v>
      </c>
      <c r="J177" s="8" t="inlineStr">
        <is>
          <t>ProMaster Brake Line Rubbing Collision Abrasion Leak</t>
        </is>
      </c>
      <c r="K177" s="9" t="inlineStr">
        <is>
          <t>Warm Prospect</t>
        </is>
      </c>
      <c r="L177" s="12">
        <f>IF(C177&gt;0, 99 + (C177 * 2.5), 0)</f>
        <v/>
      </c>
    </row>
    <row r="178">
      <c r="A178" s="13" t="inlineStr">
        <is>
          <t>Red Rock Wiring Solutions Group</t>
        </is>
      </c>
      <c r="B178" s="14" t="inlineStr">
        <is>
          <t>Electrical Services</t>
        </is>
      </c>
      <c r="C178" s="15" t="n">
        <v>104</v>
      </c>
      <c r="D178" s="13" t="inlineStr">
        <is>
          <t>Ram ProMaster 1500</t>
        </is>
      </c>
      <c r="E178" s="13" t="inlineStr">
        <is>
          <t>Paul Rodriguez</t>
        </is>
      </c>
      <c r="F178" s="13" t="inlineStr">
        <is>
          <t>paul@redrockwiringsolutionsgroup.com</t>
        </is>
      </c>
      <c r="G178" s="13" t="inlineStr">
        <is>
          <t>702-555-2353</t>
        </is>
      </c>
      <c r="H178" s="14" t="inlineStr">
        <is>
          <t>DOT65640</t>
        </is>
      </c>
      <c r="I178" s="16" t="n">
        <v>0.064</v>
      </c>
      <c r="J178" s="13" t="inlineStr">
        <is>
          <t>ProMaster Brake Line Rubbing Collision Abrasion Leak</t>
        </is>
      </c>
      <c r="K178" s="14" t="inlineStr">
        <is>
          <t>Audit Run</t>
        </is>
      </c>
      <c r="L178" s="17">
        <f>IF(C178&gt;0, 99 + (C178 * 2.5), 0)</f>
        <v/>
      </c>
    </row>
    <row r="179">
      <c r="A179" s="8" t="inlineStr">
        <is>
          <t>High Rise HVAC Services LLC</t>
        </is>
      </c>
      <c r="B179" s="9" t="inlineStr">
        <is>
          <t>HVAC/Plumbing</t>
        </is>
      </c>
      <c r="C179" s="10" t="n">
        <v>30</v>
      </c>
      <c r="D179" s="8" t="inlineStr">
        <is>
          <t>Ford Transit 250</t>
        </is>
      </c>
      <c r="E179" s="8" t="inlineStr">
        <is>
          <t>Daniel Martinez</t>
        </is>
      </c>
      <c r="F179" s="8" t="inlineStr">
        <is>
          <t>daniel@highrisehvacservicesllc.com</t>
        </is>
      </c>
      <c r="G179" s="8" t="inlineStr">
        <is>
          <t>702-555-6021</t>
        </is>
      </c>
      <c r="H179" s="9" t="inlineStr">
        <is>
          <t>DOT68447</t>
        </is>
      </c>
      <c r="I179" s="11" t="n">
        <v>0.227</v>
      </c>
      <c r="J179" s="8" t="inlineStr">
        <is>
          <t>Transit 114°F Electrical Module Overheat Wire Ground Fire Risk</t>
        </is>
      </c>
      <c r="K179" s="9" t="inlineStr">
        <is>
          <t>Warm Prospect</t>
        </is>
      </c>
      <c r="L179" s="12">
        <f>IF(C179&gt;0, 99 + (C179 * 2.5), 0)</f>
        <v/>
      </c>
    </row>
    <row r="180">
      <c r="A180" s="13" t="inlineStr">
        <is>
          <t>Clark County Comfort Heating LLC</t>
        </is>
      </c>
      <c r="B180" s="14" t="inlineStr">
        <is>
          <t>HVAC/Plumbing</t>
        </is>
      </c>
      <c r="C180" s="15" t="n">
        <v>20</v>
      </c>
      <c r="D180" s="13" t="inlineStr">
        <is>
          <t>GMC Savana 2500</t>
        </is>
      </c>
      <c r="E180" s="13" t="inlineStr">
        <is>
          <t>Matthew Martin</t>
        </is>
      </c>
      <c r="F180" s="13" t="inlineStr">
        <is>
          <t>matthew@clarkcountycomfortheatingllc.com</t>
        </is>
      </c>
      <c r="G180" s="13" t="inlineStr">
        <is>
          <t>702-555-8126</t>
        </is>
      </c>
      <c r="H180" s="14" t="inlineStr">
        <is>
          <t>DOT45986</t>
        </is>
      </c>
      <c r="I180" s="16" t="n">
        <v>0.238</v>
      </c>
      <c r="J180" s="13" t="inlineStr">
        <is>
          <t>Savana Desert Fuel Line Seal Degradation Failure</t>
        </is>
      </c>
      <c r="K180" s="14" t="inlineStr">
        <is>
          <t>Warm Prospect</t>
        </is>
      </c>
      <c r="L180" s="17">
        <f>IF(C180&gt;0, 99 + (C180 * 2.5), 0)</f>
        <v/>
      </c>
    </row>
    <row r="181">
      <c r="A181" s="8" t="inlineStr">
        <is>
          <t>Vegas Valley Mechanical Services LLC</t>
        </is>
      </c>
      <c r="B181" s="9" t="inlineStr">
        <is>
          <t>HVAC/Plumbing</t>
        </is>
      </c>
      <c r="C181" s="10" t="n">
        <v>141</v>
      </c>
      <c r="D181" s="8" t="inlineStr">
        <is>
          <t>Ford Transit 150</t>
        </is>
      </c>
      <c r="E181" s="8" t="inlineStr">
        <is>
          <t>William Smith</t>
        </is>
      </c>
      <c r="F181" s="8" t="inlineStr">
        <is>
          <t>william@vegasvalleymechanicalservicesllc.com</t>
        </is>
      </c>
      <c r="G181" s="8" t="inlineStr">
        <is>
          <t>702-555-3339</t>
        </is>
      </c>
      <c r="H181" s="9" t="inlineStr">
        <is>
          <t>DOT89635</t>
        </is>
      </c>
      <c r="I181" s="11" t="n">
        <v>0.25</v>
      </c>
      <c r="J181" s="8" t="inlineStr">
        <is>
          <t>Transit 114°F Electrical Module Overheat Wire Ground Fire Risk</t>
        </is>
      </c>
      <c r="K181" s="9" t="inlineStr">
        <is>
          <t>Warm Prospect</t>
        </is>
      </c>
      <c r="L181" s="12">
        <f>IF(C181&gt;0, 99 + (C181 * 2.5), 0)</f>
        <v/>
      </c>
    </row>
    <row r="182">
      <c r="A182" s="13" t="inlineStr">
        <is>
          <t>Red Rock Air Conditioning Inc</t>
        </is>
      </c>
      <c r="B182" s="14" t="inlineStr">
        <is>
          <t>HVAC/Plumbing</t>
        </is>
      </c>
      <c r="C182" s="15" t="n">
        <v>102</v>
      </c>
      <c r="D182" s="13" t="inlineStr">
        <is>
          <t>Ford Transit 150</t>
        </is>
      </c>
      <c r="E182" s="13" t="inlineStr">
        <is>
          <t>Anthony Jackson</t>
        </is>
      </c>
      <c r="F182" s="13" t="inlineStr">
        <is>
          <t>anthony@redrockairconditioninginc.com</t>
        </is>
      </c>
      <c r="G182" s="13" t="inlineStr">
        <is>
          <t>702-555-1530</t>
        </is>
      </c>
      <c r="H182" s="14" t="inlineStr">
        <is>
          <t>DOT89310</t>
        </is>
      </c>
      <c r="I182" s="16" t="n">
        <v>0.08799999999999999</v>
      </c>
      <c r="J182" s="13" t="inlineStr">
        <is>
          <t>Transit 114°F Electrical Module Overheat Wire Ground Fire Risk</t>
        </is>
      </c>
      <c r="K182" s="14" t="inlineStr">
        <is>
          <t>Warm Prospect</t>
        </is>
      </c>
      <c r="L182" s="17">
        <f>IF(C182&gt;0, 99 + (C182 * 2.5), 0)</f>
        <v/>
      </c>
    </row>
    <row r="183">
      <c r="A183" s="8" t="inlineStr">
        <is>
          <t>Valley Wiring Solutions Inc</t>
        </is>
      </c>
      <c r="B183" s="9" t="inlineStr">
        <is>
          <t>Electrical Services</t>
        </is>
      </c>
      <c r="C183" s="10" t="n">
        <v>145</v>
      </c>
      <c r="D183" s="8" t="inlineStr">
        <is>
          <t>Chevy Express 3500</t>
        </is>
      </c>
      <c r="E183" s="8" t="inlineStr">
        <is>
          <t>Matthew Gonzalez</t>
        </is>
      </c>
      <c r="F183" s="8" t="inlineStr">
        <is>
          <t>matthew@valleywiringsolutionsinc.com</t>
        </is>
      </c>
      <c r="G183" s="8" t="inlineStr">
        <is>
          <t>702-555-6150</t>
        </is>
      </c>
      <c r="H183" s="9" t="inlineStr">
        <is>
          <t>DOT95139</t>
        </is>
      </c>
      <c r="I183" s="11" t="n">
        <v>0.126</v>
      </c>
      <c r="J183" s="8" t="inlineStr">
        <is>
          <t>Express Engine Bay Hose Thermal Crack Hazard</t>
        </is>
      </c>
      <c r="K183" s="9" t="inlineStr">
        <is>
          <t>Warm Prospect</t>
        </is>
      </c>
      <c r="L183" s="12">
        <f>IF(C183&gt;0, 99 + (C183 * 2.5), 0)</f>
        <v/>
      </c>
    </row>
    <row r="184">
      <c r="A184" s="13" t="inlineStr">
        <is>
          <t>Clark County Plumbing &amp; Drain LLC</t>
        </is>
      </c>
      <c r="B184" s="14" t="inlineStr">
        <is>
          <t>HVAC/Plumbing</t>
        </is>
      </c>
      <c r="C184" s="15" t="n">
        <v>109</v>
      </c>
      <c r="D184" s="13" t="inlineStr">
        <is>
          <t>Chevy Express 2500</t>
        </is>
      </c>
      <c r="E184" s="13" t="inlineStr">
        <is>
          <t>Andrew Brown</t>
        </is>
      </c>
      <c r="F184" s="13" t="inlineStr">
        <is>
          <t>andrew@clarkcountyplumbingdrainllc.com</t>
        </is>
      </c>
      <c r="G184" s="13" t="inlineStr">
        <is>
          <t>702-555-5288</t>
        </is>
      </c>
      <c r="H184" s="14" t="inlineStr">
        <is>
          <t>DOT44116</t>
        </is>
      </c>
      <c r="I184" s="16" t="n">
        <v>0.258</v>
      </c>
      <c r="J184" s="13" t="inlineStr">
        <is>
          <t>Express Engine Bay Hose Thermal Crack Hazard</t>
        </is>
      </c>
      <c r="K184" s="14" t="inlineStr">
        <is>
          <t>Warm Prospect</t>
        </is>
      </c>
      <c r="L184" s="17">
        <f>IF(C184&gt;0, 99 + (C184 * 2.5), 0)</f>
        <v/>
      </c>
    </row>
    <row r="185">
      <c r="A185" s="8" t="inlineStr">
        <is>
          <t>Mojave Charter Buses LLC</t>
        </is>
      </c>
      <c r="B185" s="9" t="inlineStr">
        <is>
          <t>Boutique Transit</t>
        </is>
      </c>
      <c r="C185" s="10" t="n">
        <v>41</v>
      </c>
      <c r="D185" s="8" t="inlineStr">
        <is>
          <t>Mercedes-Benz Sprinter 2500</t>
        </is>
      </c>
      <c r="E185" s="8" t="inlineStr">
        <is>
          <t>David Williams</t>
        </is>
      </c>
      <c r="F185" s="8" t="inlineStr">
        <is>
          <t>david@mojavecharterbusesllc.com</t>
        </is>
      </c>
      <c r="G185" s="8" t="inlineStr">
        <is>
          <t>702-555-8406</t>
        </is>
      </c>
      <c r="H185" s="9" t="inlineStr">
        <is>
          <t>DOT32630</t>
        </is>
      </c>
      <c r="I185" s="11" t="n">
        <v>0.319</v>
      </c>
      <c r="J185" s="8" t="inlineStr">
        <is>
          <t>Sprinter AC Comp Condensation Drain Backup Wiring Short</t>
        </is>
      </c>
      <c r="K185" s="9" t="inlineStr">
        <is>
          <t>Warm Prospect</t>
        </is>
      </c>
      <c r="L185" s="12">
        <f>IF(C185&gt;0, 99 + (C185 * 2.5), 0)</f>
        <v/>
      </c>
    </row>
    <row r="186">
      <c r="A186" s="13" t="inlineStr">
        <is>
          <t>Henderson Mechanical Services LLC</t>
        </is>
      </c>
      <c r="B186" s="14" t="inlineStr">
        <is>
          <t>HVAC/Plumbing</t>
        </is>
      </c>
      <c r="C186" s="15" t="n">
        <v>26</v>
      </c>
      <c r="D186" s="13" t="inlineStr">
        <is>
          <t>Ford Transit 150</t>
        </is>
      </c>
      <c r="E186" s="13" t="inlineStr">
        <is>
          <t>Andrew Moore</t>
        </is>
      </c>
      <c r="F186" s="13" t="inlineStr">
        <is>
          <t>andrew@hendersonmechanicalservicesllc.com</t>
        </is>
      </c>
      <c r="G186" s="13" t="inlineStr">
        <is>
          <t>702-555-5757</t>
        </is>
      </c>
      <c r="H186" s="14" t="inlineStr">
        <is>
          <t>DOT49315</t>
        </is>
      </c>
      <c r="I186" s="16" t="n">
        <v>0.304</v>
      </c>
      <c r="J186" s="13" t="inlineStr">
        <is>
          <t>Transit 114°F Electrical Module Overheat Wire Ground Fire Risk</t>
        </is>
      </c>
      <c r="K186" s="14" t="inlineStr">
        <is>
          <t>Warm Prospect</t>
        </is>
      </c>
      <c r="L186" s="17">
        <f>IF(C186&gt;0, 99 + (C186 * 2.5), 0)</f>
        <v/>
      </c>
    </row>
    <row r="187">
      <c r="A187" s="8" t="inlineStr">
        <is>
          <t>High Rise Power Systems Inc</t>
        </is>
      </c>
      <c r="B187" s="9" t="inlineStr">
        <is>
          <t>Electrical Services</t>
        </is>
      </c>
      <c r="C187" s="10" t="n">
        <v>45</v>
      </c>
      <c r="D187" s="8" t="inlineStr">
        <is>
          <t>Chevy Express 3500</t>
        </is>
      </c>
      <c r="E187" s="8" t="inlineStr">
        <is>
          <t>Thomas Thomas</t>
        </is>
      </c>
      <c r="F187" s="8" t="inlineStr">
        <is>
          <t>thomas@highrisepowersystemsinc.com</t>
        </is>
      </c>
      <c r="G187" s="8" t="inlineStr">
        <is>
          <t>702-555-1430</t>
        </is>
      </c>
      <c r="H187" s="9" t="inlineStr">
        <is>
          <t>DOT57303</t>
        </is>
      </c>
      <c r="I187" s="11" t="n">
        <v>0.212</v>
      </c>
      <c r="J187" s="8" t="inlineStr">
        <is>
          <t>Express Engine Bay Hose Thermal Crack Hazard</t>
        </is>
      </c>
      <c r="K187" s="9" t="inlineStr">
        <is>
          <t>Warm Prospect</t>
        </is>
      </c>
      <c r="L187" s="12">
        <f>IF(C187&gt;0, 99 + (C187 * 2.5), 0)</f>
        <v/>
      </c>
    </row>
    <row r="188">
      <c r="A188" s="13" t="inlineStr">
        <is>
          <t>Henderson Lighting &amp; Power Inc</t>
        </is>
      </c>
      <c r="B188" s="14" t="inlineStr">
        <is>
          <t>Electrical Services</t>
        </is>
      </c>
      <c r="C188" s="15" t="n">
        <v>26</v>
      </c>
      <c r="D188" s="13" t="inlineStr">
        <is>
          <t>Chevy Express 2500</t>
        </is>
      </c>
      <c r="E188" s="13" t="inlineStr">
        <is>
          <t>Christopher Gonzalez</t>
        </is>
      </c>
      <c r="F188" s="13" t="inlineStr">
        <is>
          <t>christopher@hendersonlightingpowerinc.com</t>
        </is>
      </c>
      <c r="G188" s="13" t="inlineStr">
        <is>
          <t>702-555-8842</t>
        </is>
      </c>
      <c r="H188" s="14" t="inlineStr">
        <is>
          <t>DOT78903</t>
        </is>
      </c>
      <c r="I188" s="16" t="n">
        <v>0.167</v>
      </c>
      <c r="J188" s="13" t="inlineStr">
        <is>
          <t>Express Engine Bay Hose Thermal Crack Hazard</t>
        </is>
      </c>
      <c r="K188" s="14" t="inlineStr">
        <is>
          <t>Warm Prospect</t>
        </is>
      </c>
      <c r="L188" s="17">
        <f>IF(C188&gt;0, 99 + (C188 * 2.5), 0)</f>
        <v/>
      </c>
    </row>
    <row r="189">
      <c r="A189" s="8" t="inlineStr">
        <is>
          <t>Apex Airport Express LLC</t>
        </is>
      </c>
      <c r="B189" s="9" t="inlineStr">
        <is>
          <t>Boutique Transit</t>
        </is>
      </c>
      <c r="C189" s="10" t="n">
        <v>28</v>
      </c>
      <c r="D189" s="8" t="inlineStr">
        <is>
          <t>Ford Transit 350</t>
        </is>
      </c>
      <c r="E189" s="8" t="inlineStr">
        <is>
          <t>Donald Anderson</t>
        </is>
      </c>
      <c r="F189" s="8" t="inlineStr">
        <is>
          <t>donald@apexairportexpressllc.com</t>
        </is>
      </c>
      <c r="G189" s="8" t="inlineStr">
        <is>
          <t>702-555-9476</t>
        </is>
      </c>
      <c r="H189" s="9" t="inlineStr">
        <is>
          <t>DOT55156</t>
        </is>
      </c>
      <c r="I189" s="11" t="n">
        <v>0.08</v>
      </c>
      <c r="J189" s="8" t="inlineStr">
        <is>
          <t>Transit 114°F Electrical Module Overheat Wire Ground Fire Risk</t>
        </is>
      </c>
      <c r="K189" s="9" t="inlineStr">
        <is>
          <t>Audit Run</t>
        </is>
      </c>
      <c r="L189" s="12">
        <f>IF(C189&gt;0, 99 + (C189 * 2.5), 0)</f>
        <v/>
      </c>
    </row>
    <row r="190">
      <c r="A190" s="13" t="inlineStr">
        <is>
          <t>Las Vegas Airport Express Inc</t>
        </is>
      </c>
      <c r="B190" s="14" t="inlineStr">
        <is>
          <t>Boutique Transit</t>
        </is>
      </c>
      <c r="C190" s="15" t="n">
        <v>138</v>
      </c>
      <c r="D190" s="13" t="inlineStr">
        <is>
          <t>Mercedes-Benz Sprinter 3500</t>
        </is>
      </c>
      <c r="E190" s="13" t="inlineStr">
        <is>
          <t>Michael Brown</t>
        </is>
      </c>
      <c r="F190" s="13" t="inlineStr">
        <is>
          <t>michael@lasvegasairportexpressinc.com</t>
        </is>
      </c>
      <c r="G190" s="13" t="inlineStr">
        <is>
          <t>702-555-9488</t>
        </is>
      </c>
      <c r="H190" s="14" t="inlineStr">
        <is>
          <t>DOT30056</t>
        </is>
      </c>
      <c r="I190" s="16" t="n">
        <v>0.134</v>
      </c>
      <c r="J190" s="13" t="inlineStr">
        <is>
          <t>Sprinter AC Comp Condensation Drain Backup Wiring Short</t>
        </is>
      </c>
      <c r="K190" s="14" t="inlineStr">
        <is>
          <t>Warm Prospect</t>
        </is>
      </c>
      <c r="L190" s="17">
        <f>IF(C190&gt;0, 99 + (C190 * 2.5), 0)</f>
        <v/>
      </c>
    </row>
    <row r="191">
      <c r="A191" s="8" t="inlineStr">
        <is>
          <t>Spring Valley Electric Pros Inc</t>
        </is>
      </c>
      <c r="B191" s="9" t="inlineStr">
        <is>
          <t>Electrical Services</t>
        </is>
      </c>
      <c r="C191" s="10" t="n">
        <v>142</v>
      </c>
      <c r="D191" s="8" t="inlineStr">
        <is>
          <t>Ram ProMaster 2500</t>
        </is>
      </c>
      <c r="E191" s="8" t="inlineStr">
        <is>
          <t>Christopher Williams</t>
        </is>
      </c>
      <c r="F191" s="8" t="inlineStr">
        <is>
          <t>christopher@springvalleyelectricprosinc.com</t>
        </is>
      </c>
      <c r="G191" s="8" t="inlineStr">
        <is>
          <t>702-555-5105</t>
        </is>
      </c>
      <c r="H191" s="9" t="inlineStr">
        <is>
          <t>DOT35729</t>
        </is>
      </c>
      <c r="I191" s="11" t="n">
        <v>0.237</v>
      </c>
      <c r="J191" s="8" t="inlineStr">
        <is>
          <t>ProMaster Brake Line Rubbing Collision Abrasion Leak</t>
        </is>
      </c>
      <c r="K191" s="9" t="inlineStr">
        <is>
          <t>Audit Run</t>
        </is>
      </c>
      <c r="L191" s="12">
        <f>IF(C191&gt;0, 99 + (C191 * 2.5), 0)</f>
        <v/>
      </c>
    </row>
    <row r="192">
      <c r="A192" s="13" t="inlineStr">
        <is>
          <t>Red Rock Electric Pros LLC</t>
        </is>
      </c>
      <c r="B192" s="14" t="inlineStr">
        <is>
          <t>Electrical Services</t>
        </is>
      </c>
      <c r="C192" s="15" t="n">
        <v>138</v>
      </c>
      <c r="D192" s="13" t="inlineStr">
        <is>
          <t>Chevy Express 2500</t>
        </is>
      </c>
      <c r="E192" s="13" t="inlineStr">
        <is>
          <t>William Jackson</t>
        </is>
      </c>
      <c r="F192" s="13" t="inlineStr">
        <is>
          <t>william@redrockelectricprosllc.com</t>
        </is>
      </c>
      <c r="G192" s="13" t="inlineStr">
        <is>
          <t>702-555-3526</t>
        </is>
      </c>
      <c r="H192" s="14" t="inlineStr">
        <is>
          <t>DOT32439</t>
        </is>
      </c>
      <c r="I192" s="16" t="n">
        <v>0.244</v>
      </c>
      <c r="J192" s="13" t="inlineStr">
        <is>
          <t>Express Engine Bay Hose Thermal Crack Hazard</t>
        </is>
      </c>
      <c r="K192" s="14" t="inlineStr">
        <is>
          <t>Audit Run</t>
        </is>
      </c>
      <c r="L192" s="17">
        <f>IF(C192&gt;0, 99 + (C192 * 2.5), 0)</f>
        <v/>
      </c>
    </row>
    <row r="193">
      <c r="A193" s="8" t="inlineStr">
        <is>
          <t>Summerlin Lighting &amp; Power Inc</t>
        </is>
      </c>
      <c r="B193" s="9" t="inlineStr">
        <is>
          <t>Electrical Services</t>
        </is>
      </c>
      <c r="C193" s="10" t="n">
        <v>30</v>
      </c>
      <c r="D193" s="8" t="inlineStr">
        <is>
          <t>Chevy Express 2500</t>
        </is>
      </c>
      <c r="E193" s="8" t="inlineStr">
        <is>
          <t>Michael Jackson</t>
        </is>
      </c>
      <c r="F193" s="8" t="inlineStr">
        <is>
          <t>michael@summerlinlightingpowerinc.com</t>
        </is>
      </c>
      <c r="G193" s="8" t="inlineStr">
        <is>
          <t>702-555-5336</t>
        </is>
      </c>
      <c r="H193" s="9" t="inlineStr">
        <is>
          <t>DOT95344</t>
        </is>
      </c>
      <c r="I193" s="11" t="n">
        <v>0.105</v>
      </c>
      <c r="J193" s="8" t="inlineStr">
        <is>
          <t>Express Engine Bay Hose Thermal Crack Hazard</t>
        </is>
      </c>
      <c r="K193" s="9" t="inlineStr">
        <is>
          <t>Audit Run</t>
        </is>
      </c>
      <c r="L193" s="12">
        <f>IF(C193&gt;0, 99 + (C193 * 2.5), 0)</f>
        <v/>
      </c>
    </row>
    <row r="194">
      <c r="A194" s="13" t="inlineStr">
        <is>
          <t>Las Vegas Electric Pros Inc</t>
        </is>
      </c>
      <c r="B194" s="14" t="inlineStr">
        <is>
          <t>Electrical Services</t>
        </is>
      </c>
      <c r="C194" s="15" t="n">
        <v>149</v>
      </c>
      <c r="D194" s="13" t="inlineStr">
        <is>
          <t>Ram ProMaster 1500</t>
        </is>
      </c>
      <c r="E194" s="13" t="inlineStr">
        <is>
          <t>Christopher Martinez</t>
        </is>
      </c>
      <c r="F194" s="13" t="inlineStr">
        <is>
          <t>christopher@lasvegaselectricprosinc.com</t>
        </is>
      </c>
      <c r="G194" s="13" t="inlineStr">
        <is>
          <t>702-555-8912</t>
        </is>
      </c>
      <c r="H194" s="14" t="inlineStr">
        <is>
          <t>DOT42096</t>
        </is>
      </c>
      <c r="I194" s="16" t="n">
        <v>0.289</v>
      </c>
      <c r="J194" s="13" t="inlineStr">
        <is>
          <t>ProMaster Brake Line Rubbing Collision Abrasion Leak</t>
        </is>
      </c>
      <c r="K194" s="14" t="inlineStr">
        <is>
          <t>Warm Prospect</t>
        </is>
      </c>
      <c r="L194" s="17">
        <f>IF(C194&gt;0, 99 + (C194 * 2.5), 0)</f>
        <v/>
      </c>
    </row>
    <row r="195">
      <c r="A195" s="8" t="inlineStr">
        <is>
          <t>First Choice Electric &amp; Solar Group</t>
        </is>
      </c>
      <c r="B195" s="9" t="inlineStr">
        <is>
          <t>Electrical Services</t>
        </is>
      </c>
      <c r="C195" s="10" t="n">
        <v>50</v>
      </c>
      <c r="D195" s="8" t="inlineStr">
        <is>
          <t>Chevy Express 2500</t>
        </is>
      </c>
      <c r="E195" s="8" t="inlineStr">
        <is>
          <t>Donald Wilson</t>
        </is>
      </c>
      <c r="F195" s="8" t="inlineStr">
        <is>
          <t>donald@firstchoiceelectricsolargroup.com</t>
        </is>
      </c>
      <c r="G195" s="8" t="inlineStr">
        <is>
          <t>702-555-8933</t>
        </is>
      </c>
      <c r="H195" s="9" t="inlineStr">
        <is>
          <t>DOT70875</t>
        </is>
      </c>
      <c r="I195" s="11" t="n">
        <v>0.103</v>
      </c>
      <c r="J195" s="8" t="inlineStr">
        <is>
          <t>Express Engine Bay Hose Thermal Crack Hazard</t>
        </is>
      </c>
      <c r="K195" s="9" t="inlineStr">
        <is>
          <t>Audit Run</t>
        </is>
      </c>
      <c r="L195" s="12">
        <f>IF(C195&gt;0, 99 + (C195 * 2.5), 0)</f>
        <v/>
      </c>
    </row>
    <row r="196">
      <c r="A196" s="13" t="inlineStr">
        <is>
          <t>Valley Mechanical Services LLC</t>
        </is>
      </c>
      <c r="B196" s="14" t="inlineStr">
        <is>
          <t>HVAC/Plumbing</t>
        </is>
      </c>
      <c r="C196" s="15" t="n">
        <v>112</v>
      </c>
      <c r="D196" s="13" t="inlineStr">
        <is>
          <t>Ford Transit 150</t>
        </is>
      </c>
      <c r="E196" s="13" t="inlineStr">
        <is>
          <t>David Lopez</t>
        </is>
      </c>
      <c r="F196" s="13" t="inlineStr">
        <is>
          <t>david@valleymechanicalservicesllc.com</t>
        </is>
      </c>
      <c r="G196" s="13" t="inlineStr">
        <is>
          <t>702-555-9437</t>
        </is>
      </c>
      <c r="H196" s="14" t="inlineStr">
        <is>
          <t>DOT83616</t>
        </is>
      </c>
      <c r="I196" s="16" t="n">
        <v>0.073</v>
      </c>
      <c r="J196" s="13" t="inlineStr">
        <is>
          <t>Transit 114°F Electrical Module Overheat Wire Ground Fire Risk</t>
        </is>
      </c>
      <c r="K196" s="14" t="inlineStr">
        <is>
          <t>Warm Prospect</t>
        </is>
      </c>
      <c r="L196" s="17">
        <f>IF(C196&gt;0, 99 + (C196 * 2.5), 0)</f>
        <v/>
      </c>
    </row>
    <row r="197">
      <c r="A197" s="8" t="inlineStr">
        <is>
          <t>Apex Electrical Contractors LLC</t>
        </is>
      </c>
      <c r="B197" s="9" t="inlineStr">
        <is>
          <t>Electrical Services</t>
        </is>
      </c>
      <c r="C197" s="10" t="n">
        <v>46</v>
      </c>
      <c r="D197" s="8" t="inlineStr">
        <is>
          <t>Chevy Express 3500</t>
        </is>
      </c>
      <c r="E197" s="8" t="inlineStr">
        <is>
          <t>Robert Johnson</t>
        </is>
      </c>
      <c r="F197" s="8" t="inlineStr">
        <is>
          <t>robert@apexelectricalcontractorsllc.com</t>
        </is>
      </c>
      <c r="G197" s="8" t="inlineStr">
        <is>
          <t>702-555-5754</t>
        </is>
      </c>
      <c r="H197" s="9" t="inlineStr">
        <is>
          <t>DOT60351</t>
        </is>
      </c>
      <c r="I197" s="11" t="n">
        <v>0.308</v>
      </c>
      <c r="J197" s="8" t="inlineStr">
        <is>
          <t>Express Engine Bay Hose Thermal Crack Hazard</t>
        </is>
      </c>
      <c r="K197" s="9" t="inlineStr">
        <is>
          <t>Warm Prospect</t>
        </is>
      </c>
      <c r="L197" s="12">
        <f>IF(C197&gt;0, 99 + (C197 * 2.5), 0)</f>
        <v/>
      </c>
    </row>
    <row r="198">
      <c r="A198" s="13" t="inlineStr">
        <is>
          <t>Summerlin Plumbing &amp; Drain LLC</t>
        </is>
      </c>
      <c r="B198" s="14" t="inlineStr">
        <is>
          <t>HVAC/Plumbing</t>
        </is>
      </c>
      <c r="C198" s="15" t="n">
        <v>90</v>
      </c>
      <c r="D198" s="13" t="inlineStr">
        <is>
          <t>Chevy Express 2500</t>
        </is>
      </c>
      <c r="E198" s="13" t="inlineStr">
        <is>
          <t>Richard Garcia</t>
        </is>
      </c>
      <c r="F198" s="13" t="inlineStr">
        <is>
          <t>richard@summerlinplumbingdrainllc.com</t>
        </is>
      </c>
      <c r="G198" s="13" t="inlineStr">
        <is>
          <t>702-555-9163</t>
        </is>
      </c>
      <c r="H198" s="14" t="inlineStr">
        <is>
          <t>DOT77466</t>
        </is>
      </c>
      <c r="I198" s="16" t="n">
        <v>0.185</v>
      </c>
      <c r="J198" s="13" t="inlineStr">
        <is>
          <t>Express Engine Bay Hose Thermal Crack Hazard</t>
        </is>
      </c>
      <c r="K198" s="14" t="inlineStr">
        <is>
          <t>Warm Prospect</t>
        </is>
      </c>
      <c r="L198" s="17">
        <f>IF(C198&gt;0, 99 + (C198 * 2.5), 0)</f>
        <v/>
      </c>
    </row>
    <row r="199">
      <c r="A199" s="8" t="inlineStr">
        <is>
          <t>Silver State Electric &amp; Solar LLC</t>
        </is>
      </c>
      <c r="B199" s="9" t="inlineStr">
        <is>
          <t>Electrical Services</t>
        </is>
      </c>
      <c r="C199" s="10" t="n">
        <v>71</v>
      </c>
      <c r="D199" s="8" t="inlineStr">
        <is>
          <t>Ram ProMaster 1500</t>
        </is>
      </c>
      <c r="E199" s="8" t="inlineStr">
        <is>
          <t>Richard Jackson</t>
        </is>
      </c>
      <c r="F199" s="8" t="inlineStr">
        <is>
          <t>richard@silverstateelectricsolarllc.com</t>
        </is>
      </c>
      <c r="G199" s="8" t="inlineStr">
        <is>
          <t>702-555-6781</t>
        </is>
      </c>
      <c r="H199" s="9" t="inlineStr">
        <is>
          <t>DOT16377</t>
        </is>
      </c>
      <c r="I199" s="11" t="n">
        <v>0.056</v>
      </c>
      <c r="J199" s="8" t="inlineStr">
        <is>
          <t>ProMaster Brake Line Rubbing Collision Abrasion Leak</t>
        </is>
      </c>
      <c r="K199" s="9" t="inlineStr">
        <is>
          <t>Warm Prospect</t>
        </is>
      </c>
      <c r="L199" s="12">
        <f>IF(C199&gt;0, 99 + (C199 * 2.5), 0)</f>
        <v/>
      </c>
    </row>
    <row r="200">
      <c r="A200" s="13" t="inlineStr">
        <is>
          <t>Spring Valley Charter Buses Group</t>
        </is>
      </c>
      <c r="B200" s="14" t="inlineStr">
        <is>
          <t>Boutique Transit</t>
        </is>
      </c>
      <c r="C200" s="15" t="n">
        <v>83</v>
      </c>
      <c r="D200" s="13" t="inlineStr">
        <is>
          <t>Mercedes-Benz Sprinter 3500</t>
        </is>
      </c>
      <c r="E200" s="13" t="inlineStr">
        <is>
          <t>Andrew Smith</t>
        </is>
      </c>
      <c r="F200" s="13" t="inlineStr">
        <is>
          <t>andrew@springvalleycharterbusesgroup.com</t>
        </is>
      </c>
      <c r="G200" s="13" t="inlineStr">
        <is>
          <t>702-555-2761</t>
        </is>
      </c>
      <c r="H200" s="14" t="inlineStr">
        <is>
          <t>DOT66482</t>
        </is>
      </c>
      <c r="I200" s="16" t="n">
        <v>0.082</v>
      </c>
      <c r="J200" s="13" t="inlineStr">
        <is>
          <t>Sprinter AC Comp Condensation Drain Backup Wiring Short</t>
        </is>
      </c>
      <c r="K200" s="14" t="inlineStr">
        <is>
          <t>Warm Prospect</t>
        </is>
      </c>
      <c r="L200" s="17">
        <f>IF(C200&gt;0, 99 + (C200 * 2.5), 0)</f>
        <v/>
      </c>
    </row>
    <row r="201">
      <c r="A201" s="8" t="inlineStr">
        <is>
          <t>Valley Tours &amp; Transit LLC</t>
        </is>
      </c>
      <c r="B201" s="9" t="inlineStr">
        <is>
          <t>Boutique Transit</t>
        </is>
      </c>
      <c r="C201" s="10" t="n">
        <v>112</v>
      </c>
      <c r="D201" s="8" t="inlineStr">
        <is>
          <t>Mercedes-Benz Sprinter 2500</t>
        </is>
      </c>
      <c r="E201" s="8" t="inlineStr">
        <is>
          <t>Michael Jackson</t>
        </is>
      </c>
      <c r="F201" s="8" t="inlineStr">
        <is>
          <t>michael@valleytourstransitllc.com</t>
        </is>
      </c>
      <c r="G201" s="8" t="inlineStr">
        <is>
          <t>702-555-4189</t>
        </is>
      </c>
      <c r="H201" s="9" t="inlineStr">
        <is>
          <t>DOT57516</t>
        </is>
      </c>
      <c r="I201" s="11" t="n">
        <v>0.211</v>
      </c>
      <c r="J201" s="8" t="inlineStr">
        <is>
          <t>Sprinter AC Comp Condensation Drain Backup Wiring Short</t>
        </is>
      </c>
      <c r="K201" s="9" t="inlineStr">
        <is>
          <t>Warm Prospect</t>
        </is>
      </c>
      <c r="L201" s="12">
        <f>IF(C201&gt;0, 99 + (C201 * 2.5), 0)</f>
        <v/>
      </c>
    </row>
    <row r="202">
      <c r="A202" s="13" t="inlineStr">
        <is>
          <t>High Rise Wiring Solutions Group</t>
        </is>
      </c>
      <c r="B202" s="14" t="inlineStr">
        <is>
          <t>Electrical Services</t>
        </is>
      </c>
      <c r="C202" s="15" t="n">
        <v>40</v>
      </c>
      <c r="D202" s="13" t="inlineStr">
        <is>
          <t>Ram ProMaster 2500</t>
        </is>
      </c>
      <c r="E202" s="13" t="inlineStr">
        <is>
          <t>David Brown</t>
        </is>
      </c>
      <c r="F202" s="13" t="inlineStr">
        <is>
          <t>david@highrisewiringsolutionsgroup.com</t>
        </is>
      </c>
      <c r="G202" s="13" t="inlineStr">
        <is>
          <t>702-555-7453</t>
        </is>
      </c>
      <c r="H202" s="14" t="inlineStr">
        <is>
          <t>DOT58915</t>
        </is>
      </c>
      <c r="I202" s="16" t="n">
        <v>0.286</v>
      </c>
      <c r="J202" s="13" t="inlineStr">
        <is>
          <t>ProMaster Brake Line Rubbing Collision Abrasion Leak</t>
        </is>
      </c>
      <c r="K202" s="14" t="inlineStr">
        <is>
          <t>Warm Prospect</t>
        </is>
      </c>
      <c r="L202" s="17">
        <f>IF(C202&gt;0, 99 + (C202 * 2.5), 0)</f>
        <v/>
      </c>
    </row>
    <row r="203">
      <c r="A203" s="8" t="inlineStr">
        <is>
          <t>Valley Airport Express Inc</t>
        </is>
      </c>
      <c r="B203" s="9" t="inlineStr">
        <is>
          <t>Boutique Transit</t>
        </is>
      </c>
      <c r="C203" s="10" t="n">
        <v>140</v>
      </c>
      <c r="D203" s="8" t="inlineStr">
        <is>
          <t>Ford Transit 350</t>
        </is>
      </c>
      <c r="E203" s="8" t="inlineStr">
        <is>
          <t>Anthony Taylor</t>
        </is>
      </c>
      <c r="F203" s="8" t="inlineStr">
        <is>
          <t>anthony@valleyairportexpressinc.com</t>
        </is>
      </c>
      <c r="G203" s="8" t="inlineStr">
        <is>
          <t>702-555-1659</t>
        </is>
      </c>
      <c r="H203" s="9" t="inlineStr">
        <is>
          <t>DOT15938</t>
        </is>
      </c>
      <c r="I203" s="11" t="n">
        <v>0.052</v>
      </c>
      <c r="J203" s="8" t="inlineStr">
        <is>
          <t>Transit 114°F Electrical Module Overheat Wire Ground Fire Risk</t>
        </is>
      </c>
      <c r="K203" s="9" t="inlineStr">
        <is>
          <t>Warm Prospect</t>
        </is>
      </c>
      <c r="L203" s="12">
        <f>IF(C203&gt;0, 99 + (C203 * 2.5), 0)</f>
        <v/>
      </c>
    </row>
    <row r="204">
      <c r="A204" s="13" t="inlineStr">
        <is>
          <t>High Rise Wiring Solutions Inc</t>
        </is>
      </c>
      <c r="B204" s="14" t="inlineStr">
        <is>
          <t>Electrical Services</t>
        </is>
      </c>
      <c r="C204" s="15" t="n">
        <v>93</v>
      </c>
      <c r="D204" s="13" t="inlineStr">
        <is>
          <t>Chevy Express 3500</t>
        </is>
      </c>
      <c r="E204" s="13" t="inlineStr">
        <is>
          <t>Kenneth Hernandez</t>
        </is>
      </c>
      <c r="F204" s="13" t="inlineStr">
        <is>
          <t>kenneth@highrisewiringsolutionsinc.com</t>
        </is>
      </c>
      <c r="G204" s="13" t="inlineStr">
        <is>
          <t>702-555-3662</t>
        </is>
      </c>
      <c r="H204" s="14" t="inlineStr">
        <is>
          <t>DOT61505</t>
        </is>
      </c>
      <c r="I204" s="16" t="n">
        <v>0.347</v>
      </c>
      <c r="J204" s="13" t="inlineStr">
        <is>
          <t>Express Engine Bay Hose Thermal Crack Hazard</t>
        </is>
      </c>
      <c r="K204" s="14" t="inlineStr">
        <is>
          <t>Warm Prospect</t>
        </is>
      </c>
      <c r="L204" s="17">
        <f>IF(C204&gt;0, 99 + (C204 * 2.5), 0)</f>
        <v/>
      </c>
    </row>
    <row r="205">
      <c r="A205" s="8" t="inlineStr">
        <is>
          <t>Valley Logistics Group</t>
        </is>
      </c>
      <c r="B205" s="9" t="inlineStr">
        <is>
          <t>Boutique Transit</t>
        </is>
      </c>
      <c r="C205" s="10" t="n">
        <v>135</v>
      </c>
      <c r="D205" s="8" t="inlineStr">
        <is>
          <t>Ford Transit 350</t>
        </is>
      </c>
      <c r="E205" s="8" t="inlineStr">
        <is>
          <t>Joshua Martinez</t>
        </is>
      </c>
      <c r="F205" s="8" t="inlineStr">
        <is>
          <t>joshua@valleylogisticsgroup.com</t>
        </is>
      </c>
      <c r="G205" s="8" t="inlineStr">
        <is>
          <t>702-555-8780</t>
        </is>
      </c>
      <c r="H205" s="9" t="inlineStr">
        <is>
          <t>DOT12180</t>
        </is>
      </c>
      <c r="I205" s="11" t="n">
        <v>0.154</v>
      </c>
      <c r="J205" s="8" t="inlineStr">
        <is>
          <t>Transit 114°F Electrical Module Overheat Wire Ground Fire Risk</t>
        </is>
      </c>
      <c r="K205" s="9" t="inlineStr">
        <is>
          <t>Warm Prospect</t>
        </is>
      </c>
      <c r="L205" s="12">
        <f>IF(C205&gt;0, 99 + (C205 * 2.5), 0)</f>
        <v/>
      </c>
    </row>
    <row r="206">
      <c r="A206" s="13" t="inlineStr">
        <is>
          <t>Las Vegas Electrical Contractors Group</t>
        </is>
      </c>
      <c r="B206" s="14" t="inlineStr">
        <is>
          <t>Electrical Services</t>
        </is>
      </c>
      <c r="C206" s="15" t="n">
        <v>131</v>
      </c>
      <c r="D206" s="13" t="inlineStr">
        <is>
          <t>Chevy Express 2500</t>
        </is>
      </c>
      <c r="E206" s="13" t="inlineStr">
        <is>
          <t>Charles Jackson</t>
        </is>
      </c>
      <c r="F206" s="13" t="inlineStr">
        <is>
          <t>charles@lasvegaselectricalcontractorsgroup.com</t>
        </is>
      </c>
      <c r="G206" s="13" t="inlineStr">
        <is>
          <t>702-555-4728</t>
        </is>
      </c>
      <c r="H206" s="14" t="inlineStr">
        <is>
          <t>DOT16731</t>
        </is>
      </c>
      <c r="I206" s="16" t="n">
        <v>0.221</v>
      </c>
      <c r="J206" s="13" t="inlineStr">
        <is>
          <t>Express Engine Bay Hose Thermal Crack Hazard</t>
        </is>
      </c>
      <c r="K206" s="14" t="inlineStr">
        <is>
          <t>Warm Prospect</t>
        </is>
      </c>
      <c r="L206" s="17">
        <f>IF(C206&gt;0, 99 + (C206 * 2.5), 0)</f>
        <v/>
      </c>
    </row>
    <row r="207">
      <c r="A207" s="8" t="inlineStr">
        <is>
          <t>Vegas Valley Charter Buses Group</t>
        </is>
      </c>
      <c r="B207" s="9" t="inlineStr">
        <is>
          <t>Boutique Transit</t>
        </is>
      </c>
      <c r="C207" s="10" t="n">
        <v>47</v>
      </c>
      <c r="D207" s="8" t="inlineStr">
        <is>
          <t>Mercedes-Benz Sprinter 3500</t>
        </is>
      </c>
      <c r="E207" s="8" t="inlineStr">
        <is>
          <t>Thomas Johnson</t>
        </is>
      </c>
      <c r="F207" s="8" t="inlineStr">
        <is>
          <t>thomas@vegasvalleycharterbusesgroup.com</t>
        </is>
      </c>
      <c r="G207" s="8" t="inlineStr">
        <is>
          <t>702-555-2800</t>
        </is>
      </c>
      <c r="H207" s="9" t="inlineStr">
        <is>
          <t>DOT35006</t>
        </is>
      </c>
      <c r="I207" s="11" t="n">
        <v>0.046</v>
      </c>
      <c r="J207" s="8" t="inlineStr">
        <is>
          <t>Sprinter AC Comp Condensation Drain Backup Wiring Short</t>
        </is>
      </c>
      <c r="K207" s="9" t="inlineStr">
        <is>
          <t>Warm Prospect</t>
        </is>
      </c>
      <c r="L207" s="12">
        <f>IF(C207&gt;0, 99 + (C207 * 2.5), 0)</f>
        <v/>
      </c>
    </row>
    <row r="208">
      <c r="A208" s="13" t="inlineStr">
        <is>
          <t>Red Rock Wiring Solutions Group</t>
        </is>
      </c>
      <c r="B208" s="14" t="inlineStr">
        <is>
          <t>Electrical Services</t>
        </is>
      </c>
      <c r="C208" s="15" t="n">
        <v>115</v>
      </c>
      <c r="D208" s="13" t="inlineStr">
        <is>
          <t>Chevy Express 3500</t>
        </is>
      </c>
      <c r="E208" s="13" t="inlineStr">
        <is>
          <t>Paul Martin</t>
        </is>
      </c>
      <c r="F208" s="13" t="inlineStr">
        <is>
          <t>paul@redrockwiringsolutionsgroup.com</t>
        </is>
      </c>
      <c r="G208" s="13" t="inlineStr">
        <is>
          <t>702-555-8726</t>
        </is>
      </c>
      <c r="H208" s="14" t="inlineStr">
        <is>
          <t>DOT18163</t>
        </is>
      </c>
      <c r="I208" s="16" t="n">
        <v>0.259</v>
      </c>
      <c r="J208" s="13" t="inlineStr">
        <is>
          <t>Express Engine Bay Hose Thermal Crack Hazard</t>
        </is>
      </c>
      <c r="K208" s="14" t="inlineStr">
        <is>
          <t>Audit Run</t>
        </is>
      </c>
      <c r="L208" s="17">
        <f>IF(C208&gt;0, 99 + (C208 * 2.5), 0)</f>
        <v/>
      </c>
    </row>
    <row r="209">
      <c r="A209" s="8" t="inlineStr">
        <is>
          <t>High Rise HVAC Services Group</t>
        </is>
      </c>
      <c r="B209" s="9" t="inlineStr">
        <is>
          <t>HVAC/Plumbing</t>
        </is>
      </c>
      <c r="C209" s="10" t="n">
        <v>144</v>
      </c>
      <c r="D209" s="8" t="inlineStr">
        <is>
          <t>GMC Savana 2500</t>
        </is>
      </c>
      <c r="E209" s="8" t="inlineStr">
        <is>
          <t>Anthony Hernandez</t>
        </is>
      </c>
      <c r="F209" s="8" t="inlineStr">
        <is>
          <t>anthony@highrisehvacservicesgroup.com</t>
        </is>
      </c>
      <c r="G209" s="8" t="inlineStr">
        <is>
          <t>702-555-3837</t>
        </is>
      </c>
      <c r="H209" s="9" t="inlineStr">
        <is>
          <t>DOT70249</t>
        </is>
      </c>
      <c r="I209" s="11" t="n">
        <v>0.323</v>
      </c>
      <c r="J209" s="8" t="inlineStr">
        <is>
          <t>Savana Desert Fuel Line Seal Degradation Failure</t>
        </is>
      </c>
      <c r="K209" s="9" t="inlineStr">
        <is>
          <t>Warm Prospect</t>
        </is>
      </c>
      <c r="L209" s="12">
        <f>IF(C209&gt;0, 99 + (C209 * 2.5), 0)</f>
        <v/>
      </c>
    </row>
    <row r="210">
      <c r="A210" s="13" t="inlineStr">
        <is>
          <t>Valley Charter Buses Group</t>
        </is>
      </c>
      <c r="B210" s="14" t="inlineStr">
        <is>
          <t>Boutique Transit</t>
        </is>
      </c>
      <c r="C210" s="15" t="n">
        <v>77</v>
      </c>
      <c r="D210" s="13" t="inlineStr">
        <is>
          <t>Ford Transit 350</t>
        </is>
      </c>
      <c r="E210" s="13" t="inlineStr">
        <is>
          <t>Kenneth Thomas</t>
        </is>
      </c>
      <c r="F210" s="13" t="inlineStr">
        <is>
          <t>kenneth@valleycharterbusesgroup.com</t>
        </is>
      </c>
      <c r="G210" s="13" t="inlineStr">
        <is>
          <t>702-555-4150</t>
        </is>
      </c>
      <c r="H210" s="14" t="inlineStr">
        <is>
          <t>DOT42311</t>
        </is>
      </c>
      <c r="I210" s="16" t="n">
        <v>0.126</v>
      </c>
      <c r="J210" s="13" t="inlineStr">
        <is>
          <t>Transit 114°F Electrical Module Overheat Wire Ground Fire Risk</t>
        </is>
      </c>
      <c r="K210" s="14" t="inlineStr">
        <is>
          <t>Warm Prospect</t>
        </is>
      </c>
      <c r="L210" s="17">
        <f>IF(C210&gt;0, 99 + (C210 * 2.5), 0)</f>
        <v/>
      </c>
    </row>
    <row r="211">
      <c r="A211" s="8" t="inlineStr">
        <is>
          <t>Mojave HVAC Services Group</t>
        </is>
      </c>
      <c r="B211" s="9" t="inlineStr">
        <is>
          <t>HVAC/Plumbing</t>
        </is>
      </c>
      <c r="C211" s="10" t="n">
        <v>135</v>
      </c>
      <c r="D211" s="8" t="inlineStr">
        <is>
          <t>Ford Transit 350</t>
        </is>
      </c>
      <c r="E211" s="8" t="inlineStr">
        <is>
          <t>Daniel Thomas</t>
        </is>
      </c>
      <c r="F211" s="8" t="inlineStr">
        <is>
          <t>daniel@mojavehvacservicesgroup.com</t>
        </is>
      </c>
      <c r="G211" s="8" t="inlineStr">
        <is>
          <t>702-555-6714</t>
        </is>
      </c>
      <c r="H211" s="9" t="inlineStr">
        <is>
          <t>DOT83464</t>
        </is>
      </c>
      <c r="I211" s="11" t="n">
        <v>0.329</v>
      </c>
      <c r="J211" s="8" t="inlineStr">
        <is>
          <t>Transit 114°F Electrical Module Overheat Wire Ground Fire Risk</t>
        </is>
      </c>
      <c r="K211" s="9" t="inlineStr">
        <is>
          <t>Warm Prospect</t>
        </is>
      </c>
      <c r="L211" s="12">
        <f>IF(C211&gt;0, 99 + (C211 * 2.5), 0)</f>
        <v/>
      </c>
    </row>
    <row r="212">
      <c r="A212" s="13" t="inlineStr">
        <is>
          <t>Apex Lighting &amp; Power Group</t>
        </is>
      </c>
      <c r="B212" s="14" t="inlineStr">
        <is>
          <t>Electrical Services</t>
        </is>
      </c>
      <c r="C212" s="15" t="n">
        <v>111</v>
      </c>
      <c r="D212" s="13" t="inlineStr">
        <is>
          <t>Ram ProMaster 1500</t>
        </is>
      </c>
      <c r="E212" s="13" t="inlineStr">
        <is>
          <t>Matthew Jones</t>
        </is>
      </c>
      <c r="F212" s="13" t="inlineStr">
        <is>
          <t>matthew@apexlightingpowergroup.com</t>
        </is>
      </c>
      <c r="G212" s="13" t="inlineStr">
        <is>
          <t>702-555-5758</t>
        </is>
      </c>
      <c r="H212" s="14" t="inlineStr">
        <is>
          <t>DOT15513</t>
        </is>
      </c>
      <c r="I212" s="16" t="n">
        <v>0.129</v>
      </c>
      <c r="J212" s="13" t="inlineStr">
        <is>
          <t>ProMaster Brake Line Rubbing Collision Abrasion Leak</t>
        </is>
      </c>
      <c r="K212" s="14" t="inlineStr">
        <is>
          <t>Warm Prospect</t>
        </is>
      </c>
      <c r="L212" s="17">
        <f>IF(C212&gt;0, 99 + (C212 * 2.5), 0)</f>
        <v/>
      </c>
    </row>
    <row r="213">
      <c r="A213" s="8" t="inlineStr">
        <is>
          <t>Spring Valley Wiring Solutions Group</t>
        </is>
      </c>
      <c r="B213" s="9" t="inlineStr">
        <is>
          <t>Electrical Services</t>
        </is>
      </c>
      <c r="C213" s="10" t="n">
        <v>132</v>
      </c>
      <c r="D213" s="8" t="inlineStr">
        <is>
          <t>Ram ProMaster 2500</t>
        </is>
      </c>
      <c r="E213" s="8" t="inlineStr">
        <is>
          <t>Richard Miller</t>
        </is>
      </c>
      <c r="F213" s="8" t="inlineStr">
        <is>
          <t>richard@springvalleywiringsolutionsgroup.com</t>
        </is>
      </c>
      <c r="G213" s="8" t="inlineStr">
        <is>
          <t>702-555-9824</t>
        </is>
      </c>
      <c r="H213" s="9" t="inlineStr">
        <is>
          <t>DOT45537</t>
        </is>
      </c>
      <c r="I213" s="11" t="n">
        <v>0.329</v>
      </c>
      <c r="J213" s="8" t="inlineStr">
        <is>
          <t>ProMaster Brake Line Rubbing Collision Abrasion Leak</t>
        </is>
      </c>
      <c r="K213" s="9" t="inlineStr">
        <is>
          <t>Warm Prospect</t>
        </is>
      </c>
      <c r="L213" s="12">
        <f>IF(C213&gt;0, 99 + (C213 * 2.5), 0)</f>
        <v/>
      </c>
    </row>
    <row r="214">
      <c r="A214" s="13" t="inlineStr">
        <is>
          <t>Apex Plumbing Experts Group</t>
        </is>
      </c>
      <c r="B214" s="14" t="inlineStr">
        <is>
          <t>HVAC/Plumbing</t>
        </is>
      </c>
      <c r="C214" s="15" t="n">
        <v>71</v>
      </c>
      <c r="D214" s="13" t="inlineStr">
        <is>
          <t>Chevy Express 2500</t>
        </is>
      </c>
      <c r="E214" s="13" t="inlineStr">
        <is>
          <t>Thomas Johnson</t>
        </is>
      </c>
      <c r="F214" s="13" t="inlineStr">
        <is>
          <t>thomas@apexplumbingexpertsgroup.com</t>
        </is>
      </c>
      <c r="G214" s="13" t="inlineStr">
        <is>
          <t>702-555-9700</t>
        </is>
      </c>
      <c r="H214" s="14" t="inlineStr">
        <is>
          <t>DOT39579</t>
        </is>
      </c>
      <c r="I214" s="16" t="n">
        <v>0.238</v>
      </c>
      <c r="J214" s="13" t="inlineStr">
        <is>
          <t>Express Engine Bay Hose Thermal Crack Hazard</t>
        </is>
      </c>
      <c r="K214" s="14" t="inlineStr">
        <is>
          <t>Warm Prospect</t>
        </is>
      </c>
      <c r="L214" s="17">
        <f>IF(C214&gt;0, 99 + (C214 * 2.5), 0)</f>
        <v/>
      </c>
    </row>
    <row r="215">
      <c r="A215" s="8" t="inlineStr">
        <is>
          <t>Titan HVAC Services Group</t>
        </is>
      </c>
      <c r="B215" s="9" t="inlineStr">
        <is>
          <t>HVAC/Plumbing</t>
        </is>
      </c>
      <c r="C215" s="10" t="n">
        <v>35</v>
      </c>
      <c r="D215" s="8" t="inlineStr">
        <is>
          <t>GMC Savana 2500</t>
        </is>
      </c>
      <c r="E215" s="8" t="inlineStr">
        <is>
          <t>David Smith</t>
        </is>
      </c>
      <c r="F215" s="8" t="inlineStr">
        <is>
          <t>david@titanhvacservicesgroup.com</t>
        </is>
      </c>
      <c r="G215" s="8" t="inlineStr">
        <is>
          <t>702-555-3587</t>
        </is>
      </c>
      <c r="H215" s="9" t="inlineStr">
        <is>
          <t>DOT63334</t>
        </is>
      </c>
      <c r="I215" s="11" t="n">
        <v>0.242</v>
      </c>
      <c r="J215" s="8" t="inlineStr">
        <is>
          <t>Savana Desert Fuel Line Seal Degradation Failure</t>
        </is>
      </c>
      <c r="K215" s="9" t="inlineStr">
        <is>
          <t>Warm Prospect</t>
        </is>
      </c>
      <c r="L215" s="12">
        <f>IF(C215&gt;0, 99 + (C215 * 2.5), 0)</f>
        <v/>
      </c>
    </row>
    <row r="216">
      <c r="A216" s="13" t="inlineStr">
        <is>
          <t>Vegas Valley Power Systems LLC</t>
        </is>
      </c>
      <c r="B216" s="14" t="inlineStr">
        <is>
          <t>Electrical Services</t>
        </is>
      </c>
      <c r="C216" s="15" t="n">
        <v>83</v>
      </c>
      <c r="D216" s="13" t="inlineStr">
        <is>
          <t>Ram ProMaster 2500</t>
        </is>
      </c>
      <c r="E216" s="13" t="inlineStr">
        <is>
          <t>Michael Williams</t>
        </is>
      </c>
      <c r="F216" s="13" t="inlineStr">
        <is>
          <t>michael@vegasvalleypowersystemsllc.com</t>
        </is>
      </c>
      <c r="G216" s="13" t="inlineStr">
        <is>
          <t>702-555-4804</t>
        </is>
      </c>
      <c r="H216" s="14" t="inlineStr">
        <is>
          <t>DOT80143</t>
        </is>
      </c>
      <c r="I216" s="16" t="n">
        <v>0.269</v>
      </c>
      <c r="J216" s="13" t="inlineStr">
        <is>
          <t>ProMaster Brake Line Rubbing Collision Abrasion Leak</t>
        </is>
      </c>
      <c r="K216" s="14" t="inlineStr">
        <is>
          <t>Warm Prospect</t>
        </is>
      </c>
      <c r="L216" s="17">
        <f>IF(C216&gt;0, 99 + (C216 * 2.5), 0)</f>
        <v/>
      </c>
    </row>
    <row r="217">
      <c r="A217" s="8" t="inlineStr">
        <is>
          <t>Titan Plumbing &amp; Drain Inc</t>
        </is>
      </c>
      <c r="B217" s="9" t="inlineStr">
        <is>
          <t>HVAC/Plumbing</t>
        </is>
      </c>
      <c r="C217" s="10" t="n">
        <v>136</v>
      </c>
      <c r="D217" s="8" t="inlineStr">
        <is>
          <t>GMC Savana 2500</t>
        </is>
      </c>
      <c r="E217" s="8" t="inlineStr">
        <is>
          <t>William Martinez</t>
        </is>
      </c>
      <c r="F217" s="8" t="inlineStr">
        <is>
          <t>william@titanplumbingdraininc.com</t>
        </is>
      </c>
      <c r="G217" s="8" t="inlineStr">
        <is>
          <t>702-555-1613</t>
        </is>
      </c>
      <c r="H217" s="9" t="inlineStr">
        <is>
          <t>DOT11214</t>
        </is>
      </c>
      <c r="I217" s="11" t="n">
        <v>0.133</v>
      </c>
      <c r="J217" s="8" t="inlineStr">
        <is>
          <t>Savana Desert Fuel Line Seal Degradation Failure</t>
        </is>
      </c>
      <c r="K217" s="9" t="inlineStr">
        <is>
          <t>Audit Run</t>
        </is>
      </c>
      <c r="L217" s="12">
        <f>IF(C217&gt;0, 99 + (C217 * 2.5), 0)</f>
        <v/>
      </c>
    </row>
    <row r="218">
      <c r="A218" s="13" t="inlineStr">
        <is>
          <t>Spring Valley HVAC Services LLC</t>
        </is>
      </c>
      <c r="B218" s="14" t="inlineStr">
        <is>
          <t>HVAC/Plumbing</t>
        </is>
      </c>
      <c r="C218" s="15" t="n">
        <v>149</v>
      </c>
      <c r="D218" s="13" t="inlineStr">
        <is>
          <t>GMC Savana 2500</t>
        </is>
      </c>
      <c r="E218" s="13" t="inlineStr">
        <is>
          <t>Paul Thomas</t>
        </is>
      </c>
      <c r="F218" s="13" t="inlineStr">
        <is>
          <t>paul@springvalleyhvacservicesllc.com</t>
        </is>
      </c>
      <c r="G218" s="13" t="inlineStr">
        <is>
          <t>702-555-3198</t>
        </is>
      </c>
      <c r="H218" s="14" t="inlineStr">
        <is>
          <t>DOT76088</t>
        </is>
      </c>
      <c r="I218" s="16" t="n">
        <v>0.185</v>
      </c>
      <c r="J218" s="13" t="inlineStr">
        <is>
          <t>Savana Desert Fuel Line Seal Degradation Failure</t>
        </is>
      </c>
      <c r="K218" s="14" t="inlineStr">
        <is>
          <t>Warm Prospect</t>
        </is>
      </c>
      <c r="L218" s="17">
        <f>IF(C218&gt;0, 99 + (C218 * 2.5), 0)</f>
        <v/>
      </c>
    </row>
    <row r="219">
      <c r="A219" s="8" t="inlineStr">
        <is>
          <t>Valley Plumbing &amp; Drain Group</t>
        </is>
      </c>
      <c r="B219" s="9" t="inlineStr">
        <is>
          <t>HVAC/Plumbing</t>
        </is>
      </c>
      <c r="C219" s="10" t="n">
        <v>75</v>
      </c>
      <c r="D219" s="8" t="inlineStr">
        <is>
          <t>GMC Savana 2500</t>
        </is>
      </c>
      <c r="E219" s="8" t="inlineStr">
        <is>
          <t>William Smith</t>
        </is>
      </c>
      <c r="F219" s="8" t="inlineStr">
        <is>
          <t>william@valleyplumbingdraingroup.com</t>
        </is>
      </c>
      <c r="G219" s="8" t="inlineStr">
        <is>
          <t>702-555-6523</t>
        </is>
      </c>
      <c r="H219" s="9" t="inlineStr">
        <is>
          <t>DOT48669</t>
        </is>
      </c>
      <c r="I219" s="11" t="n">
        <v>0.216</v>
      </c>
      <c r="J219" s="8" t="inlineStr">
        <is>
          <t>Savana Desert Fuel Line Seal Degradation Failure</t>
        </is>
      </c>
      <c r="K219" s="9" t="inlineStr">
        <is>
          <t>Warm Prospect</t>
        </is>
      </c>
      <c r="L219" s="12">
        <f>IF(C219&gt;0, 99 + (C219 * 2.5), 0)</f>
        <v/>
      </c>
    </row>
    <row r="220">
      <c r="A220" s="13" t="inlineStr">
        <is>
          <t>Las Vegas Mechanical Services LLC</t>
        </is>
      </c>
      <c r="B220" s="14" t="inlineStr">
        <is>
          <t>HVAC/Plumbing</t>
        </is>
      </c>
      <c r="C220" s="15" t="n">
        <v>141</v>
      </c>
      <c r="D220" s="13" t="inlineStr">
        <is>
          <t>GMC Savana 2500</t>
        </is>
      </c>
      <c r="E220" s="13" t="inlineStr">
        <is>
          <t>Daniel Williams</t>
        </is>
      </c>
      <c r="F220" s="13" t="inlineStr">
        <is>
          <t>daniel@lasvegasmechanicalservicesllc.com</t>
        </is>
      </c>
      <c r="G220" s="13" t="inlineStr">
        <is>
          <t>702-555-7567</t>
        </is>
      </c>
      <c r="H220" s="14" t="inlineStr">
        <is>
          <t>DOT97720</t>
        </is>
      </c>
      <c r="I220" s="16" t="n">
        <v>0.07000000000000001</v>
      </c>
      <c r="J220" s="13" t="inlineStr">
        <is>
          <t>Savana Desert Fuel Line Seal Degradation Failure</t>
        </is>
      </c>
      <c r="K220" s="14" t="inlineStr">
        <is>
          <t>Warm Prospect</t>
        </is>
      </c>
      <c r="L220" s="17">
        <f>IF(C220&gt;0, 99 + (C220 * 2.5), 0)</f>
        <v/>
      </c>
    </row>
    <row r="221">
      <c r="A221" s="8" t="inlineStr">
        <is>
          <t>Valley Power Systems Inc</t>
        </is>
      </c>
      <c r="B221" s="9" t="inlineStr">
        <is>
          <t>Electrical Services</t>
        </is>
      </c>
      <c r="C221" s="10" t="n">
        <v>108</v>
      </c>
      <c r="D221" s="8" t="inlineStr">
        <is>
          <t>Ram ProMaster 2500</t>
        </is>
      </c>
      <c r="E221" s="8" t="inlineStr">
        <is>
          <t>Thomas Anderson</t>
        </is>
      </c>
      <c r="F221" s="8" t="inlineStr">
        <is>
          <t>thomas@valleypowersystemsinc.com</t>
        </is>
      </c>
      <c r="G221" s="8" t="inlineStr">
        <is>
          <t>702-555-5374</t>
        </is>
      </c>
      <c r="H221" s="9" t="inlineStr">
        <is>
          <t>DOT53204</t>
        </is>
      </c>
      <c r="I221" s="11" t="n">
        <v>0.134</v>
      </c>
      <c r="J221" s="8" t="inlineStr">
        <is>
          <t>ProMaster Brake Line Rubbing Collision Abrasion Leak</t>
        </is>
      </c>
      <c r="K221" s="9" t="inlineStr">
        <is>
          <t>Audit Run</t>
        </is>
      </c>
      <c r="L221" s="12">
        <f>IF(C221&gt;0, 99 + (C221 * 2.5), 0)</f>
        <v/>
      </c>
    </row>
    <row r="222">
      <c r="A222" s="13" t="inlineStr">
        <is>
          <t>Mojave Mechanical Services LLC</t>
        </is>
      </c>
      <c r="B222" s="14" t="inlineStr">
        <is>
          <t>HVAC/Plumbing</t>
        </is>
      </c>
      <c r="C222" s="15" t="n">
        <v>25</v>
      </c>
      <c r="D222" s="13" t="inlineStr">
        <is>
          <t>Ford Transit 350</t>
        </is>
      </c>
      <c r="E222" s="13" t="inlineStr">
        <is>
          <t>Robert Anderson</t>
        </is>
      </c>
      <c r="F222" s="13" t="inlineStr">
        <is>
          <t>robert@mojavemechanicalservicesllc.com</t>
        </is>
      </c>
      <c r="G222" s="13" t="inlineStr">
        <is>
          <t>702-555-6026</t>
        </is>
      </c>
      <c r="H222" s="14" t="inlineStr">
        <is>
          <t>DOT30934</t>
        </is>
      </c>
      <c r="I222" s="16" t="n">
        <v>0.166</v>
      </c>
      <c r="J222" s="13" t="inlineStr">
        <is>
          <t>Transit 114°F Electrical Module Overheat Wire Ground Fire Risk</t>
        </is>
      </c>
      <c r="K222" s="14" t="inlineStr">
        <is>
          <t>Audit Run</t>
        </is>
      </c>
      <c r="L222" s="17">
        <f>IF(C222&gt;0, 99 + (C222 * 2.5), 0)</f>
        <v/>
      </c>
    </row>
    <row r="223">
      <c r="A223" s="8" t="inlineStr">
        <is>
          <t>Henderson Chauffeurs Group</t>
        </is>
      </c>
      <c r="B223" s="9" t="inlineStr">
        <is>
          <t>Boutique Transit</t>
        </is>
      </c>
      <c r="C223" s="10" t="n">
        <v>85</v>
      </c>
      <c r="D223" s="8" t="inlineStr">
        <is>
          <t>Mercedes-Benz Sprinter 2500</t>
        </is>
      </c>
      <c r="E223" s="8" t="inlineStr">
        <is>
          <t>Matthew Martin</t>
        </is>
      </c>
      <c r="F223" s="8" t="inlineStr">
        <is>
          <t>matthew@hendersonchauffeursgroup.com</t>
        </is>
      </c>
      <c r="G223" s="8" t="inlineStr">
        <is>
          <t>702-555-4618</t>
        </is>
      </c>
      <c r="H223" s="9" t="inlineStr">
        <is>
          <t>DOT38721</t>
        </is>
      </c>
      <c r="I223" s="11" t="n">
        <v>0.337</v>
      </c>
      <c r="J223" s="8" t="inlineStr">
        <is>
          <t>Sprinter AC Comp Condensation Drain Backup Wiring Short</t>
        </is>
      </c>
      <c r="K223" s="9" t="inlineStr">
        <is>
          <t>Warm Prospect</t>
        </is>
      </c>
      <c r="L223" s="12">
        <f>IF(C223&gt;0, 99 + (C223 * 2.5), 0)</f>
        <v/>
      </c>
    </row>
    <row r="224">
      <c r="A224" s="13" t="inlineStr">
        <is>
          <t>First Choice Mechanical Services Group</t>
        </is>
      </c>
      <c r="B224" s="14" t="inlineStr">
        <is>
          <t>HVAC/Plumbing</t>
        </is>
      </c>
      <c r="C224" s="15" t="n">
        <v>116</v>
      </c>
      <c r="D224" s="13" t="inlineStr">
        <is>
          <t>Ford Transit 150</t>
        </is>
      </c>
      <c r="E224" s="13" t="inlineStr">
        <is>
          <t>Andrew Thomas</t>
        </is>
      </c>
      <c r="F224" s="13" t="inlineStr">
        <is>
          <t>andrew@firstchoicemechanicalservicesgroup.com</t>
        </is>
      </c>
      <c r="G224" s="13" t="inlineStr">
        <is>
          <t>702-555-9806</t>
        </is>
      </c>
      <c r="H224" s="14" t="inlineStr">
        <is>
          <t>DOT97044</t>
        </is>
      </c>
      <c r="I224" s="16" t="n">
        <v>0.296</v>
      </c>
      <c r="J224" s="13" t="inlineStr">
        <is>
          <t>Transit 114°F Electrical Module Overheat Wire Ground Fire Risk</t>
        </is>
      </c>
      <c r="K224" s="14" t="inlineStr">
        <is>
          <t>Warm Prospect</t>
        </is>
      </c>
      <c r="L224" s="17">
        <f>IF(C224&gt;0, 99 + (C224 * 2.5), 0)</f>
        <v/>
      </c>
    </row>
    <row r="225">
      <c r="A225" s="8" t="inlineStr">
        <is>
          <t>Henderson Logistics Inc</t>
        </is>
      </c>
      <c r="B225" s="9" t="inlineStr">
        <is>
          <t>Boutique Transit</t>
        </is>
      </c>
      <c r="C225" s="10" t="n">
        <v>124</v>
      </c>
      <c r="D225" s="8" t="inlineStr">
        <is>
          <t>Ford Transit 350</t>
        </is>
      </c>
      <c r="E225" s="8" t="inlineStr">
        <is>
          <t>Paul Lopez</t>
        </is>
      </c>
      <c r="F225" s="8" t="inlineStr">
        <is>
          <t>paul@hendersonlogisticsinc.com</t>
        </is>
      </c>
      <c r="G225" s="8" t="inlineStr">
        <is>
          <t>702-555-2279</t>
        </is>
      </c>
      <c r="H225" s="9" t="inlineStr">
        <is>
          <t>DOT83946</t>
        </is>
      </c>
      <c r="I225" s="11" t="n">
        <v>0.075</v>
      </c>
      <c r="J225" s="8" t="inlineStr">
        <is>
          <t>Transit 114°F Electrical Module Overheat Wire Ground Fire Risk</t>
        </is>
      </c>
      <c r="K225" s="9" t="inlineStr">
        <is>
          <t>Audit Run</t>
        </is>
      </c>
      <c r="L225" s="12">
        <f>IF(C225&gt;0, 99 + (C225 * 2.5), 0)</f>
        <v/>
      </c>
    </row>
    <row r="226">
      <c r="A226" s="13" t="inlineStr">
        <is>
          <t>Sunset Logistics Group</t>
        </is>
      </c>
      <c r="B226" s="14" t="inlineStr">
        <is>
          <t>Boutique Transit</t>
        </is>
      </c>
      <c r="C226" s="15" t="n">
        <v>52</v>
      </c>
      <c r="D226" s="13" t="inlineStr">
        <is>
          <t>Mercedes-Benz Sprinter 2500</t>
        </is>
      </c>
      <c r="E226" s="13" t="inlineStr">
        <is>
          <t>Daniel Taylor</t>
        </is>
      </c>
      <c r="F226" s="13" t="inlineStr">
        <is>
          <t>daniel@sunsetlogisticsgroup.com</t>
        </is>
      </c>
      <c r="G226" s="13" t="inlineStr">
        <is>
          <t>702-555-8239</t>
        </is>
      </c>
      <c r="H226" s="14" t="inlineStr">
        <is>
          <t>DOT25235</t>
        </is>
      </c>
      <c r="I226" s="16" t="n">
        <v>0.251</v>
      </c>
      <c r="J226" s="13" t="inlineStr">
        <is>
          <t>Sprinter AC Comp Condensation Drain Backup Wiring Short</t>
        </is>
      </c>
      <c r="K226" s="14" t="inlineStr">
        <is>
          <t>Audit Run</t>
        </is>
      </c>
      <c r="L226" s="17">
        <f>IF(C226&gt;0, 99 + (C226 * 2.5), 0)</f>
        <v/>
      </c>
    </row>
    <row r="227">
      <c r="A227" s="8" t="inlineStr">
        <is>
          <t>Apex Lighting &amp; Power LLC</t>
        </is>
      </c>
      <c r="B227" s="9" t="inlineStr">
        <is>
          <t>Electrical Services</t>
        </is>
      </c>
      <c r="C227" s="10" t="n">
        <v>126</v>
      </c>
      <c r="D227" s="8" t="inlineStr">
        <is>
          <t>Chevy Express 2500</t>
        </is>
      </c>
      <c r="E227" s="8" t="inlineStr">
        <is>
          <t>David Taylor</t>
        </is>
      </c>
      <c r="F227" s="8" t="inlineStr">
        <is>
          <t>david@apexlightingpowerllc.com</t>
        </is>
      </c>
      <c r="G227" s="8" t="inlineStr">
        <is>
          <t>702-555-7806</t>
        </is>
      </c>
      <c r="H227" s="9" t="inlineStr">
        <is>
          <t>DOT69873</t>
        </is>
      </c>
      <c r="I227" s="11" t="n">
        <v>0.215</v>
      </c>
      <c r="J227" s="8" t="inlineStr">
        <is>
          <t>Express Engine Bay Hose Thermal Crack Hazard</t>
        </is>
      </c>
      <c r="K227" s="9" t="inlineStr">
        <is>
          <t>Audit Run</t>
        </is>
      </c>
      <c r="L227" s="12">
        <f>IF(C227&gt;0, 99 + (C227 * 2.5), 0)</f>
        <v/>
      </c>
    </row>
    <row r="228">
      <c r="A228" s="13" t="inlineStr">
        <is>
          <t>Vegas Valley Electrical Contractors Group</t>
        </is>
      </c>
      <c r="B228" s="14" t="inlineStr">
        <is>
          <t>Electrical Services</t>
        </is>
      </c>
      <c r="C228" s="15" t="n">
        <v>111</v>
      </c>
      <c r="D228" s="13" t="inlineStr">
        <is>
          <t>Chevy Express 2500</t>
        </is>
      </c>
      <c r="E228" s="13" t="inlineStr">
        <is>
          <t>Charles Smith</t>
        </is>
      </c>
      <c r="F228" s="13" t="inlineStr">
        <is>
          <t>charles@vegasvalleyelectricalcontractorsgroup.com</t>
        </is>
      </c>
      <c r="G228" s="13" t="inlineStr">
        <is>
          <t>702-555-4570</t>
        </is>
      </c>
      <c r="H228" s="14" t="inlineStr">
        <is>
          <t>DOT85800</t>
        </is>
      </c>
      <c r="I228" s="16" t="n">
        <v>0.063</v>
      </c>
      <c r="J228" s="13" t="inlineStr">
        <is>
          <t>Express Engine Bay Hose Thermal Crack Hazard</t>
        </is>
      </c>
      <c r="K228" s="14" t="inlineStr">
        <is>
          <t>Warm Prospect</t>
        </is>
      </c>
      <c r="L228" s="17">
        <f>IF(C228&gt;0, 99 + (C228 * 2.5), 0)</f>
        <v/>
      </c>
    </row>
    <row r="229">
      <c r="A229" s="8" t="inlineStr">
        <is>
          <t>Clark County Electric &amp; Solar Group</t>
        </is>
      </c>
      <c r="B229" s="9" t="inlineStr">
        <is>
          <t>Electrical Services</t>
        </is>
      </c>
      <c r="C229" s="10" t="n">
        <v>27</v>
      </c>
      <c r="D229" s="8" t="inlineStr">
        <is>
          <t>Chevy Express 2500</t>
        </is>
      </c>
      <c r="E229" s="8" t="inlineStr">
        <is>
          <t>Steven Johnson</t>
        </is>
      </c>
      <c r="F229" s="8" t="inlineStr">
        <is>
          <t>steven@clarkcountyelectricsolargroup.com</t>
        </is>
      </c>
      <c r="G229" s="8" t="inlineStr">
        <is>
          <t>702-555-5703</t>
        </is>
      </c>
      <c r="H229" s="9" t="inlineStr">
        <is>
          <t>DOT63591</t>
        </is>
      </c>
      <c r="I229" s="11" t="n">
        <v>0.096</v>
      </c>
      <c r="J229" s="8" t="inlineStr">
        <is>
          <t>Express Engine Bay Hose Thermal Crack Hazard</t>
        </is>
      </c>
      <c r="K229" s="9" t="inlineStr">
        <is>
          <t>Warm Prospect</t>
        </is>
      </c>
      <c r="L229" s="12">
        <f>IF(C229&gt;0, 99 + (C229 * 2.5), 0)</f>
        <v/>
      </c>
    </row>
    <row r="230">
      <c r="A230" s="13" t="inlineStr">
        <is>
          <t>Clark County Charter Buses LLC</t>
        </is>
      </c>
      <c r="B230" s="14" t="inlineStr">
        <is>
          <t>Boutique Transit</t>
        </is>
      </c>
      <c r="C230" s="15" t="n">
        <v>107</v>
      </c>
      <c r="D230" s="13" t="inlineStr">
        <is>
          <t>Mercedes-Benz Sprinter 3500</t>
        </is>
      </c>
      <c r="E230" s="13" t="inlineStr">
        <is>
          <t>Donald Gonzalez</t>
        </is>
      </c>
      <c r="F230" s="13" t="inlineStr">
        <is>
          <t>donald@clarkcountycharterbusesllc.com</t>
        </is>
      </c>
      <c r="G230" s="13" t="inlineStr">
        <is>
          <t>702-555-7154</t>
        </is>
      </c>
      <c r="H230" s="14" t="inlineStr">
        <is>
          <t>DOT20518</t>
        </is>
      </c>
      <c r="I230" s="16" t="n">
        <v>0.252</v>
      </c>
      <c r="J230" s="13" t="inlineStr">
        <is>
          <t>Sprinter AC Comp Condensation Drain Backup Wiring Short</t>
        </is>
      </c>
      <c r="K230" s="14" t="inlineStr">
        <is>
          <t>Audit Run</t>
        </is>
      </c>
      <c r="L230" s="17">
        <f>IF(C230&gt;0, 99 + (C230 * 2.5), 0)</f>
        <v/>
      </c>
    </row>
    <row r="231">
      <c r="A231" s="8" t="inlineStr">
        <is>
          <t>Vegas Valley HVAC Services Inc</t>
        </is>
      </c>
      <c r="B231" s="9" t="inlineStr">
        <is>
          <t>HVAC/Plumbing</t>
        </is>
      </c>
      <c r="C231" s="10" t="n">
        <v>147</v>
      </c>
      <c r="D231" s="8" t="inlineStr">
        <is>
          <t>Ford Transit 350</t>
        </is>
      </c>
      <c r="E231" s="8" t="inlineStr">
        <is>
          <t>Anthony Taylor</t>
        </is>
      </c>
      <c r="F231" s="8" t="inlineStr">
        <is>
          <t>anthony@vegasvalleyhvacservicesinc.com</t>
        </is>
      </c>
      <c r="G231" s="8" t="inlineStr">
        <is>
          <t>702-555-3086</t>
        </is>
      </c>
      <c r="H231" s="9" t="inlineStr">
        <is>
          <t>DOT39188</t>
        </is>
      </c>
      <c r="I231" s="11" t="n">
        <v>0.299</v>
      </c>
      <c r="J231" s="8" t="inlineStr">
        <is>
          <t>Transit 114°F Electrical Module Overheat Wire Ground Fire Risk</t>
        </is>
      </c>
      <c r="K231" s="9" t="inlineStr">
        <is>
          <t>Warm Prospect</t>
        </is>
      </c>
      <c r="L231" s="12">
        <f>IF(C231&gt;0, 99 + (C231 * 2.5), 0)</f>
        <v/>
      </c>
    </row>
    <row r="232">
      <c r="A232" s="13" t="inlineStr">
        <is>
          <t>First Choice Electric Pros Group</t>
        </is>
      </c>
      <c r="B232" s="14" t="inlineStr">
        <is>
          <t>Electrical Services</t>
        </is>
      </c>
      <c r="C232" s="15" t="n">
        <v>146</v>
      </c>
      <c r="D232" s="13" t="inlineStr">
        <is>
          <t>Ram ProMaster 1500</t>
        </is>
      </c>
      <c r="E232" s="13" t="inlineStr">
        <is>
          <t>Anthony Davis</t>
        </is>
      </c>
      <c r="F232" s="13" t="inlineStr">
        <is>
          <t>anthony@firstchoiceelectricprosgroup.com</t>
        </is>
      </c>
      <c r="G232" s="13" t="inlineStr">
        <is>
          <t>702-555-5055</t>
        </is>
      </c>
      <c r="H232" s="14" t="inlineStr">
        <is>
          <t>DOT70375</t>
        </is>
      </c>
      <c r="I232" s="16" t="n">
        <v>0.147</v>
      </c>
      <c r="J232" s="13" t="inlineStr">
        <is>
          <t>ProMaster Brake Line Rubbing Collision Abrasion Leak</t>
        </is>
      </c>
      <c r="K232" s="14" t="inlineStr">
        <is>
          <t>Warm Prospect</t>
        </is>
      </c>
      <c r="L232" s="17">
        <f>IF(C232&gt;0, 99 + (C232 * 2.5), 0)</f>
        <v/>
      </c>
    </row>
    <row r="233">
      <c r="A233" s="8" t="inlineStr">
        <is>
          <t>Spring Valley Mechanical Services Inc</t>
        </is>
      </c>
      <c r="B233" s="9" t="inlineStr">
        <is>
          <t>HVAC/Plumbing</t>
        </is>
      </c>
      <c r="C233" s="10" t="n">
        <v>117</v>
      </c>
      <c r="D233" s="8" t="inlineStr">
        <is>
          <t>Ford Transit 250</t>
        </is>
      </c>
      <c r="E233" s="8" t="inlineStr">
        <is>
          <t>Kenneth Smith</t>
        </is>
      </c>
      <c r="F233" s="8" t="inlineStr">
        <is>
          <t>kenneth@springvalleymechanicalservicesinc.com</t>
        </is>
      </c>
      <c r="G233" s="8" t="inlineStr">
        <is>
          <t>702-555-4943</t>
        </is>
      </c>
      <c r="H233" s="9" t="inlineStr">
        <is>
          <t>DOT37011</t>
        </is>
      </c>
      <c r="I233" s="11" t="n">
        <v>0.061</v>
      </c>
      <c r="J233" s="8" t="inlineStr">
        <is>
          <t>Transit 114°F Electrical Module Overheat Wire Ground Fire Risk</t>
        </is>
      </c>
      <c r="K233" s="9" t="inlineStr">
        <is>
          <t>Audit Run</t>
        </is>
      </c>
      <c r="L233" s="12">
        <f>IF(C233&gt;0, 99 + (C233 * 2.5), 0)</f>
        <v/>
      </c>
    </row>
    <row r="234">
      <c r="A234" s="13" t="inlineStr">
        <is>
          <t>First Choice Plumbing Experts Group</t>
        </is>
      </c>
      <c r="B234" s="14" t="inlineStr">
        <is>
          <t>HVAC/Plumbing</t>
        </is>
      </c>
      <c r="C234" s="15" t="n">
        <v>72</v>
      </c>
      <c r="D234" s="13" t="inlineStr">
        <is>
          <t>Ford Transit 250</t>
        </is>
      </c>
      <c r="E234" s="13" t="inlineStr">
        <is>
          <t>Michael Gonzalez</t>
        </is>
      </c>
      <c r="F234" s="13" t="inlineStr">
        <is>
          <t>michael@firstchoiceplumbingexpertsgroup.com</t>
        </is>
      </c>
      <c r="G234" s="13" t="inlineStr">
        <is>
          <t>702-555-8191</t>
        </is>
      </c>
      <c r="H234" s="14" t="inlineStr">
        <is>
          <t>DOT40715</t>
        </is>
      </c>
      <c r="I234" s="16" t="n">
        <v>0.207</v>
      </c>
      <c r="J234" s="13" t="inlineStr">
        <is>
          <t>Transit 114°F Electrical Module Overheat Wire Ground Fire Risk</t>
        </is>
      </c>
      <c r="K234" s="14" t="inlineStr">
        <is>
          <t>Warm Prospect</t>
        </is>
      </c>
      <c r="L234" s="17">
        <f>IF(C234&gt;0, 99 + (C234 * 2.5), 0)</f>
        <v/>
      </c>
    </row>
    <row r="235">
      <c r="A235" s="8" t="inlineStr">
        <is>
          <t>High Rise HVAC Services Inc</t>
        </is>
      </c>
      <c r="B235" s="9" t="inlineStr">
        <is>
          <t>HVAC/Plumbing</t>
        </is>
      </c>
      <c r="C235" s="10" t="n">
        <v>91</v>
      </c>
      <c r="D235" s="8" t="inlineStr">
        <is>
          <t>Chevy Express 2500</t>
        </is>
      </c>
      <c r="E235" s="8" t="inlineStr">
        <is>
          <t>Joshua Martin</t>
        </is>
      </c>
      <c r="F235" s="8" t="inlineStr">
        <is>
          <t>joshua@highrisehvacservicesinc.com</t>
        </is>
      </c>
      <c r="G235" s="8" t="inlineStr">
        <is>
          <t>702-555-6253</t>
        </is>
      </c>
      <c r="H235" s="9" t="inlineStr">
        <is>
          <t>DOT41051</t>
        </is>
      </c>
      <c r="I235" s="11" t="n">
        <v>0.134</v>
      </c>
      <c r="J235" s="8" t="inlineStr">
        <is>
          <t>Express Engine Bay Hose Thermal Crack Hazard</t>
        </is>
      </c>
      <c r="K235" s="9" t="inlineStr">
        <is>
          <t>Warm Prospect</t>
        </is>
      </c>
      <c r="L235" s="12">
        <f>IF(C235&gt;0, 99 + (C235 * 2.5), 0)</f>
        <v/>
      </c>
    </row>
    <row r="236">
      <c r="A236" s="13" t="inlineStr">
        <is>
          <t>High Rise Airport Express LLC</t>
        </is>
      </c>
      <c r="B236" s="14" t="inlineStr">
        <is>
          <t>Boutique Transit</t>
        </is>
      </c>
      <c r="C236" s="15" t="n">
        <v>80</v>
      </c>
      <c r="D236" s="13" t="inlineStr">
        <is>
          <t>Mercedes-Benz Sprinter 3500</t>
        </is>
      </c>
      <c r="E236" s="13" t="inlineStr">
        <is>
          <t>Michael Moore</t>
        </is>
      </c>
      <c r="F236" s="13" t="inlineStr">
        <is>
          <t>michael@highriseairportexpressllc.com</t>
        </is>
      </c>
      <c r="G236" s="13" t="inlineStr">
        <is>
          <t>702-555-3869</t>
        </is>
      </c>
      <c r="H236" s="14" t="inlineStr">
        <is>
          <t>DOT92050</t>
        </is>
      </c>
      <c r="I236" s="16" t="n">
        <v>0.25</v>
      </c>
      <c r="J236" s="13" t="inlineStr">
        <is>
          <t>Sprinter AC Comp Condensation Drain Backup Wiring Short</t>
        </is>
      </c>
      <c r="K236" s="14" t="inlineStr">
        <is>
          <t>Audit Run</t>
        </is>
      </c>
      <c r="L236" s="17">
        <f>IF(C236&gt;0, 99 + (C236 * 2.5), 0)</f>
        <v/>
      </c>
    </row>
    <row r="237">
      <c r="A237" s="8" t="inlineStr">
        <is>
          <t>Silver State Electrical Contractors Group</t>
        </is>
      </c>
      <c r="B237" s="9" t="inlineStr">
        <is>
          <t>Electrical Services</t>
        </is>
      </c>
      <c r="C237" s="10" t="n">
        <v>144</v>
      </c>
      <c r="D237" s="8" t="inlineStr">
        <is>
          <t>Ram ProMaster 1500</t>
        </is>
      </c>
      <c r="E237" s="8" t="inlineStr">
        <is>
          <t>Daniel Wilson</t>
        </is>
      </c>
      <c r="F237" s="8" t="inlineStr">
        <is>
          <t>daniel@silverstateelectricalcontractorsgroup.com</t>
        </is>
      </c>
      <c r="G237" s="8" t="inlineStr">
        <is>
          <t>702-555-7688</t>
        </is>
      </c>
      <c r="H237" s="9" t="inlineStr">
        <is>
          <t>DOT29558</t>
        </is>
      </c>
      <c r="I237" s="11" t="n">
        <v>0.133</v>
      </c>
      <c r="J237" s="8" t="inlineStr">
        <is>
          <t>ProMaster Brake Line Rubbing Collision Abrasion Leak</t>
        </is>
      </c>
      <c r="K237" s="9" t="inlineStr">
        <is>
          <t>Warm Prospect</t>
        </is>
      </c>
      <c r="L237" s="12">
        <f>IF(C237&gt;0, 99 + (C237 * 2.5), 0)</f>
        <v/>
      </c>
    </row>
    <row r="238">
      <c r="A238" s="13" t="inlineStr">
        <is>
          <t>First Choice Airport Express Inc</t>
        </is>
      </c>
      <c r="B238" s="14" t="inlineStr">
        <is>
          <t>Boutique Transit</t>
        </is>
      </c>
      <c r="C238" s="15" t="n">
        <v>46</v>
      </c>
      <c r="D238" s="13" t="inlineStr">
        <is>
          <t>Mercedes-Benz Sprinter 3500</t>
        </is>
      </c>
      <c r="E238" s="13" t="inlineStr">
        <is>
          <t>Donald Johnson</t>
        </is>
      </c>
      <c r="F238" s="13" t="inlineStr">
        <is>
          <t>donald@firstchoiceairportexpressinc.com</t>
        </is>
      </c>
      <c r="G238" s="13" t="inlineStr">
        <is>
          <t>702-555-7761</t>
        </is>
      </c>
      <c r="H238" s="14" t="inlineStr">
        <is>
          <t>DOT64592</t>
        </is>
      </c>
      <c r="I238" s="16" t="n">
        <v>0.213</v>
      </c>
      <c r="J238" s="13" t="inlineStr">
        <is>
          <t>Sprinter AC Comp Condensation Drain Backup Wiring Short</t>
        </is>
      </c>
      <c r="K238" s="14" t="inlineStr">
        <is>
          <t>Warm Prospect</t>
        </is>
      </c>
      <c r="L238" s="17">
        <f>IF(C238&gt;0, 99 + (C238 * 2.5), 0)</f>
        <v/>
      </c>
    </row>
    <row r="239">
      <c r="A239" s="8" t="inlineStr">
        <is>
          <t>Sunset Electrical Contractors Inc</t>
        </is>
      </c>
      <c r="B239" s="9" t="inlineStr">
        <is>
          <t>Electrical Services</t>
        </is>
      </c>
      <c r="C239" s="10" t="n">
        <v>30</v>
      </c>
      <c r="D239" s="8" t="inlineStr">
        <is>
          <t>Ram ProMaster 2500</t>
        </is>
      </c>
      <c r="E239" s="8" t="inlineStr">
        <is>
          <t>Donald Lopez</t>
        </is>
      </c>
      <c r="F239" s="8" t="inlineStr">
        <is>
          <t>donald@sunsetelectricalcontractorsinc.com</t>
        </is>
      </c>
      <c r="G239" s="8" t="inlineStr">
        <is>
          <t>702-555-2514</t>
        </is>
      </c>
      <c r="H239" s="9" t="inlineStr">
        <is>
          <t>DOT80206</t>
        </is>
      </c>
      <c r="I239" s="11" t="n">
        <v>0.265</v>
      </c>
      <c r="J239" s="8" t="inlineStr">
        <is>
          <t>ProMaster Brake Line Rubbing Collision Abrasion Leak</t>
        </is>
      </c>
      <c r="K239" s="9" t="inlineStr">
        <is>
          <t>Warm Prospect</t>
        </is>
      </c>
      <c r="L239" s="12">
        <f>IF(C239&gt;0, 99 + (C239 * 2.5), 0)</f>
        <v/>
      </c>
    </row>
    <row r="240">
      <c r="A240" s="13" t="inlineStr">
        <is>
          <t>Mojave Comfort Heating Group</t>
        </is>
      </c>
      <c r="B240" s="14" t="inlineStr">
        <is>
          <t>HVAC/Plumbing</t>
        </is>
      </c>
      <c r="C240" s="15" t="n">
        <v>20</v>
      </c>
      <c r="D240" s="13" t="inlineStr">
        <is>
          <t>Chevy Express 2500</t>
        </is>
      </c>
      <c r="E240" s="13" t="inlineStr">
        <is>
          <t>James Miller</t>
        </is>
      </c>
      <c r="F240" s="13" t="inlineStr">
        <is>
          <t>james@mojavecomfortheatinggroup.com</t>
        </is>
      </c>
      <c r="G240" s="13" t="inlineStr">
        <is>
          <t>702-555-4555</t>
        </is>
      </c>
      <c r="H240" s="14" t="inlineStr">
        <is>
          <t>DOT72835</t>
        </is>
      </c>
      <c r="I240" s="16" t="n">
        <v>0.105</v>
      </c>
      <c r="J240" s="13" t="inlineStr">
        <is>
          <t>Express Engine Bay Hose Thermal Crack Hazard</t>
        </is>
      </c>
      <c r="K240" s="14" t="inlineStr">
        <is>
          <t>Warm Prospect</t>
        </is>
      </c>
      <c r="L240" s="17">
        <f>IF(C240&gt;0, 99 + (C240 * 2.5), 0)</f>
        <v/>
      </c>
    </row>
    <row r="241">
      <c r="A241" s="8" t="inlineStr">
        <is>
          <t>Spring Valley Electric &amp; Solar Inc</t>
        </is>
      </c>
      <c r="B241" s="9" t="inlineStr">
        <is>
          <t>Electrical Services</t>
        </is>
      </c>
      <c r="C241" s="10" t="n">
        <v>40</v>
      </c>
      <c r="D241" s="8" t="inlineStr">
        <is>
          <t>Chevy Express 3500</t>
        </is>
      </c>
      <c r="E241" s="8" t="inlineStr">
        <is>
          <t>Steven Davis</t>
        </is>
      </c>
      <c r="F241" s="8" t="inlineStr">
        <is>
          <t>steven@springvalleyelectricsolarinc.com</t>
        </is>
      </c>
      <c r="G241" s="8" t="inlineStr">
        <is>
          <t>702-555-4350</t>
        </is>
      </c>
      <c r="H241" s="9" t="inlineStr">
        <is>
          <t>DOT61987</t>
        </is>
      </c>
      <c r="I241" s="11" t="n">
        <v>0.324</v>
      </c>
      <c r="J241" s="8" t="inlineStr">
        <is>
          <t>Express Engine Bay Hose Thermal Crack Hazard</t>
        </is>
      </c>
      <c r="K241" s="9" t="inlineStr">
        <is>
          <t>Audit Run</t>
        </is>
      </c>
      <c r="L241" s="12">
        <f>IF(C241&gt;0, 99 + (C241 * 2.5), 0)</f>
        <v/>
      </c>
    </row>
    <row r="242">
      <c r="A242" s="13" t="inlineStr">
        <is>
          <t>Henderson Electrical Contractors LLC</t>
        </is>
      </c>
      <c r="B242" s="14" t="inlineStr">
        <is>
          <t>Electrical Services</t>
        </is>
      </c>
      <c r="C242" s="15" t="n">
        <v>146</v>
      </c>
      <c r="D242" s="13" t="inlineStr">
        <is>
          <t>Ram ProMaster 1500</t>
        </is>
      </c>
      <c r="E242" s="13" t="inlineStr">
        <is>
          <t>Matthew Martinez</t>
        </is>
      </c>
      <c r="F242" s="13" t="inlineStr">
        <is>
          <t>matthew@hendersonelectricalcontractorsllc.com</t>
        </is>
      </c>
      <c r="G242" s="13" t="inlineStr">
        <is>
          <t>702-555-5285</t>
        </is>
      </c>
      <c r="H242" s="14" t="inlineStr">
        <is>
          <t>DOT57139</t>
        </is>
      </c>
      <c r="I242" s="16" t="n">
        <v>0.199</v>
      </c>
      <c r="J242" s="13" t="inlineStr">
        <is>
          <t>ProMaster Brake Line Rubbing Collision Abrasion Leak</t>
        </is>
      </c>
      <c r="K242" s="14" t="inlineStr">
        <is>
          <t>Warm Prospect</t>
        </is>
      </c>
      <c r="L242" s="17">
        <f>IF(C242&gt;0, 99 + (C242 * 2.5), 0)</f>
        <v/>
      </c>
    </row>
    <row r="243">
      <c r="A243" s="8" t="inlineStr">
        <is>
          <t>Apex Electric Pros LLC</t>
        </is>
      </c>
      <c r="B243" s="9" t="inlineStr">
        <is>
          <t>Electrical Services</t>
        </is>
      </c>
      <c r="C243" s="10" t="n">
        <v>62</v>
      </c>
      <c r="D243" s="8" t="inlineStr">
        <is>
          <t>Ram ProMaster 2500</t>
        </is>
      </c>
      <c r="E243" s="8" t="inlineStr">
        <is>
          <t>Matthew Hernandez</t>
        </is>
      </c>
      <c r="F243" s="8" t="inlineStr">
        <is>
          <t>matthew@apexelectricprosllc.com</t>
        </is>
      </c>
      <c r="G243" s="8" t="inlineStr">
        <is>
          <t>702-555-7781</t>
        </is>
      </c>
      <c r="H243" s="9" t="inlineStr">
        <is>
          <t>DOT15992</t>
        </is>
      </c>
      <c r="I243" s="11" t="n">
        <v>0.214</v>
      </c>
      <c r="J243" s="8" t="inlineStr">
        <is>
          <t>ProMaster Brake Line Rubbing Collision Abrasion Leak</t>
        </is>
      </c>
      <c r="K243" s="9" t="inlineStr">
        <is>
          <t>Warm Prospect</t>
        </is>
      </c>
      <c r="L243" s="12">
        <f>IF(C243&gt;0, 99 + (C243 * 2.5), 0)</f>
        <v/>
      </c>
    </row>
    <row r="244">
      <c r="A244" s="13" t="inlineStr">
        <is>
          <t>Red Rock Shuttles LLC</t>
        </is>
      </c>
      <c r="B244" s="14" t="inlineStr">
        <is>
          <t>Boutique Transit</t>
        </is>
      </c>
      <c r="C244" s="15" t="n">
        <v>116</v>
      </c>
      <c r="D244" s="13" t="inlineStr">
        <is>
          <t>Ford Transit 350</t>
        </is>
      </c>
      <c r="E244" s="13" t="inlineStr">
        <is>
          <t>Christopher Jones</t>
        </is>
      </c>
      <c r="F244" s="13" t="inlineStr">
        <is>
          <t>christopher@redrockshuttlesllc.com</t>
        </is>
      </c>
      <c r="G244" s="13" t="inlineStr">
        <is>
          <t>702-555-4214</t>
        </is>
      </c>
      <c r="H244" s="14" t="inlineStr">
        <is>
          <t>DOT53236</t>
        </is>
      </c>
      <c r="I244" s="16" t="n">
        <v>0.111</v>
      </c>
      <c r="J244" s="13" t="inlineStr">
        <is>
          <t>Transit 114°F Electrical Module Overheat Wire Ground Fire Risk</t>
        </is>
      </c>
      <c r="K244" s="14" t="inlineStr">
        <is>
          <t>Audit Run</t>
        </is>
      </c>
      <c r="L244" s="17">
        <f>IF(C244&gt;0, 99 + (C244 * 2.5), 0)</f>
        <v/>
      </c>
    </row>
    <row r="245">
      <c r="A245" s="8" t="inlineStr">
        <is>
          <t>First Choice Plumbing Experts Group</t>
        </is>
      </c>
      <c r="B245" s="9" t="inlineStr">
        <is>
          <t>HVAC/Plumbing</t>
        </is>
      </c>
      <c r="C245" s="10" t="n">
        <v>75</v>
      </c>
      <c r="D245" s="8" t="inlineStr">
        <is>
          <t>Ford Transit 150</t>
        </is>
      </c>
      <c r="E245" s="8" t="inlineStr">
        <is>
          <t>Steven Thomas</t>
        </is>
      </c>
      <c r="F245" s="8" t="inlineStr">
        <is>
          <t>steven@firstchoiceplumbingexpertsgroup.com</t>
        </is>
      </c>
      <c r="G245" s="8" t="inlineStr">
        <is>
          <t>702-555-8550</t>
        </is>
      </c>
      <c r="H245" s="9" t="inlineStr">
        <is>
          <t>DOT32050</t>
        </is>
      </c>
      <c r="I245" s="11" t="n">
        <v>0.267</v>
      </c>
      <c r="J245" s="8" t="inlineStr">
        <is>
          <t>Transit 114°F Electrical Module Overheat Wire Ground Fire Risk</t>
        </is>
      </c>
      <c r="K245" s="9" t="inlineStr">
        <is>
          <t>Warm Prospect</t>
        </is>
      </c>
      <c r="L245" s="12">
        <f>IF(C245&gt;0, 99 + (C245 * 2.5), 0)</f>
        <v/>
      </c>
    </row>
    <row r="246">
      <c r="A246" s="13" t="inlineStr">
        <is>
          <t>Red Rock Mechanical Services Group</t>
        </is>
      </c>
      <c r="B246" s="14" t="inlineStr">
        <is>
          <t>HVAC/Plumbing</t>
        </is>
      </c>
      <c r="C246" s="15" t="n">
        <v>57</v>
      </c>
      <c r="D246" s="13" t="inlineStr">
        <is>
          <t>GMC Savana 2500</t>
        </is>
      </c>
      <c r="E246" s="13" t="inlineStr">
        <is>
          <t>Andrew Johnson</t>
        </is>
      </c>
      <c r="F246" s="13" t="inlineStr">
        <is>
          <t>andrew@redrockmechanicalservicesgroup.com</t>
        </is>
      </c>
      <c r="G246" s="13" t="inlineStr">
        <is>
          <t>702-555-9584</t>
        </is>
      </c>
      <c r="H246" s="14" t="inlineStr">
        <is>
          <t>DOT14433</t>
        </is>
      </c>
      <c r="I246" s="16" t="n">
        <v>0.3</v>
      </c>
      <c r="J246" s="13" t="inlineStr">
        <is>
          <t>Savana Desert Fuel Line Seal Degradation Failure</t>
        </is>
      </c>
      <c r="K246" s="14" t="inlineStr">
        <is>
          <t>Warm Prospect</t>
        </is>
      </c>
      <c r="L246" s="17">
        <f>IF(C246&gt;0, 99 + (C246 * 2.5), 0)</f>
        <v/>
      </c>
    </row>
    <row r="247">
      <c r="A247" s="8" t="inlineStr">
        <is>
          <t>Silver State Shuttles LLC</t>
        </is>
      </c>
      <c r="B247" s="9" t="inlineStr">
        <is>
          <t>Boutique Transit</t>
        </is>
      </c>
      <c r="C247" s="10" t="n">
        <v>69</v>
      </c>
      <c r="D247" s="8" t="inlineStr">
        <is>
          <t>Mercedes-Benz Sprinter 2500</t>
        </is>
      </c>
      <c r="E247" s="8" t="inlineStr">
        <is>
          <t>James Jones</t>
        </is>
      </c>
      <c r="F247" s="8" t="inlineStr">
        <is>
          <t>james@silverstateshuttlesllc.com</t>
        </is>
      </c>
      <c r="G247" s="8" t="inlineStr">
        <is>
          <t>702-555-1149</t>
        </is>
      </c>
      <c r="H247" s="9" t="inlineStr">
        <is>
          <t>DOT38668</t>
        </is>
      </c>
      <c r="I247" s="11" t="n">
        <v>0.197</v>
      </c>
      <c r="J247" s="8" t="inlineStr">
        <is>
          <t>Sprinter AC Comp Condensation Drain Backup Wiring Short</t>
        </is>
      </c>
      <c r="K247" s="9" t="inlineStr">
        <is>
          <t>Warm Prospect</t>
        </is>
      </c>
      <c r="L247" s="12">
        <f>IF(C247&gt;0, 99 + (C247 * 2.5), 0)</f>
        <v/>
      </c>
    </row>
    <row r="248">
      <c r="A248" s="13" t="inlineStr">
        <is>
          <t>Las Vegas Mechanical Services Group</t>
        </is>
      </c>
      <c r="B248" s="14" t="inlineStr">
        <is>
          <t>HVAC/Plumbing</t>
        </is>
      </c>
      <c r="C248" s="15" t="n">
        <v>133</v>
      </c>
      <c r="D248" s="13" t="inlineStr">
        <is>
          <t>Chevy Express 2500</t>
        </is>
      </c>
      <c r="E248" s="13" t="inlineStr">
        <is>
          <t>Steven Smith</t>
        </is>
      </c>
      <c r="F248" s="13" t="inlineStr">
        <is>
          <t>steven@lasvegasmechanicalservicesgroup.com</t>
        </is>
      </c>
      <c r="G248" s="13" t="inlineStr">
        <is>
          <t>702-555-1108</t>
        </is>
      </c>
      <c r="H248" s="14" t="inlineStr">
        <is>
          <t>DOT79758</t>
        </is>
      </c>
      <c r="I248" s="16" t="n">
        <v>0.211</v>
      </c>
      <c r="J248" s="13" t="inlineStr">
        <is>
          <t>Express Engine Bay Hose Thermal Crack Hazard</t>
        </is>
      </c>
      <c r="K248" s="14" t="inlineStr">
        <is>
          <t>Warm Prospect</t>
        </is>
      </c>
      <c r="L248" s="17">
        <f>IF(C248&gt;0, 99 + (C248 * 2.5), 0)</f>
        <v/>
      </c>
    </row>
    <row r="249">
      <c r="A249" s="8" t="inlineStr">
        <is>
          <t>High Rise Mechanical Services LLC</t>
        </is>
      </c>
      <c r="B249" s="9" t="inlineStr">
        <is>
          <t>HVAC/Plumbing</t>
        </is>
      </c>
      <c r="C249" s="10" t="n">
        <v>83</v>
      </c>
      <c r="D249" s="8" t="inlineStr">
        <is>
          <t>Chevy Express 2500</t>
        </is>
      </c>
      <c r="E249" s="8" t="inlineStr">
        <is>
          <t>John Taylor</t>
        </is>
      </c>
      <c r="F249" s="8" t="inlineStr">
        <is>
          <t>john@highrisemechanicalservicesllc.com</t>
        </is>
      </c>
      <c r="G249" s="8" t="inlineStr">
        <is>
          <t>702-555-8054</t>
        </is>
      </c>
      <c r="H249" s="9" t="inlineStr">
        <is>
          <t>DOT33496</t>
        </is>
      </c>
      <c r="I249" s="11" t="n">
        <v>0.073</v>
      </c>
      <c r="J249" s="8" t="inlineStr">
        <is>
          <t>Express Engine Bay Hose Thermal Crack Hazard</t>
        </is>
      </c>
      <c r="K249" s="9" t="inlineStr">
        <is>
          <t>Warm Prospect</t>
        </is>
      </c>
      <c r="L249" s="12">
        <f>IF(C249&gt;0, 99 + (C249 * 2.5), 0)</f>
        <v/>
      </c>
    </row>
    <row r="250">
      <c r="A250" s="13" t="inlineStr">
        <is>
          <t>Red Rock Airport Express Inc</t>
        </is>
      </c>
      <c r="B250" s="14" t="inlineStr">
        <is>
          <t>Boutique Transit</t>
        </is>
      </c>
      <c r="C250" s="15" t="n">
        <v>144</v>
      </c>
      <c r="D250" s="13" t="inlineStr">
        <is>
          <t>Ford Transit 350</t>
        </is>
      </c>
      <c r="E250" s="13" t="inlineStr">
        <is>
          <t>Charles Lopez</t>
        </is>
      </c>
      <c r="F250" s="13" t="inlineStr">
        <is>
          <t>charles@redrockairportexpressinc.com</t>
        </is>
      </c>
      <c r="G250" s="13" t="inlineStr">
        <is>
          <t>702-555-5379</t>
        </is>
      </c>
      <c r="H250" s="14" t="inlineStr">
        <is>
          <t>DOT62022</t>
        </is>
      </c>
      <c r="I250" s="16" t="n">
        <v>0.064</v>
      </c>
      <c r="J250" s="13" t="inlineStr">
        <is>
          <t>Transit 114°F Electrical Module Overheat Wire Ground Fire Risk</t>
        </is>
      </c>
      <c r="K250" s="14" t="inlineStr">
        <is>
          <t>Warm Prospect</t>
        </is>
      </c>
      <c r="L250" s="17">
        <f>IF(C250&gt;0, 99 + (C250 * 2.5), 0)</f>
        <v/>
      </c>
    </row>
    <row r="251">
      <c r="A251" s="8" t="inlineStr">
        <is>
          <t>Las Vegas Power Systems Group</t>
        </is>
      </c>
      <c r="B251" s="9" t="inlineStr">
        <is>
          <t>Electrical Services</t>
        </is>
      </c>
      <c r="C251" s="10" t="n">
        <v>86</v>
      </c>
      <c r="D251" s="8" t="inlineStr">
        <is>
          <t>Chevy Express 3500</t>
        </is>
      </c>
      <c r="E251" s="8" t="inlineStr">
        <is>
          <t>James Johnson</t>
        </is>
      </c>
      <c r="F251" s="8" t="inlineStr">
        <is>
          <t>james@lasvegaspowersystemsgroup.com</t>
        </is>
      </c>
      <c r="G251" s="8" t="inlineStr">
        <is>
          <t>702-555-2531</t>
        </is>
      </c>
      <c r="H251" s="9" t="inlineStr">
        <is>
          <t>DOT63120</t>
        </is>
      </c>
      <c r="I251" s="11" t="n">
        <v>0.158</v>
      </c>
      <c r="J251" s="8" t="inlineStr">
        <is>
          <t>Express Engine Bay Hose Thermal Crack Hazard</t>
        </is>
      </c>
      <c r="K251" s="9" t="inlineStr">
        <is>
          <t>Audit Run</t>
        </is>
      </c>
      <c r="L251" s="12">
        <f>IF(C251&gt;0, 99 + (C251 * 2.5), 0)</f>
        <v/>
      </c>
    </row>
    <row r="252">
      <c r="A252" s="13" t="inlineStr">
        <is>
          <t>Silver State Electric Pros Inc</t>
        </is>
      </c>
      <c r="B252" s="14" t="inlineStr">
        <is>
          <t>Electrical Services</t>
        </is>
      </c>
      <c r="C252" s="15" t="n">
        <v>31</v>
      </c>
      <c r="D252" s="13" t="inlineStr">
        <is>
          <t>Chevy Express 3500</t>
        </is>
      </c>
      <c r="E252" s="13" t="inlineStr">
        <is>
          <t>Steven Wilson</t>
        </is>
      </c>
      <c r="F252" s="13" t="inlineStr">
        <is>
          <t>steven@silverstateelectricprosinc.com</t>
        </is>
      </c>
      <c r="G252" s="13" t="inlineStr">
        <is>
          <t>702-555-6427</t>
        </is>
      </c>
      <c r="H252" s="14" t="inlineStr">
        <is>
          <t>DOT84167</t>
        </is>
      </c>
      <c r="I252" s="16" t="n">
        <v>0.343</v>
      </c>
      <c r="J252" s="13" t="inlineStr">
        <is>
          <t>Express Engine Bay Hose Thermal Crack Hazard</t>
        </is>
      </c>
      <c r="K252" s="14" t="inlineStr">
        <is>
          <t>Warm Prospect</t>
        </is>
      </c>
      <c r="L252" s="17">
        <f>IF(C252&gt;0, 99 + (C252 * 2.5), 0)</f>
        <v/>
      </c>
    </row>
    <row r="253">
      <c r="A253" s="8" t="inlineStr">
        <is>
          <t>Spring Valley Shuttles Inc</t>
        </is>
      </c>
      <c r="B253" s="9" t="inlineStr">
        <is>
          <t>Boutique Transit</t>
        </is>
      </c>
      <c r="C253" s="10" t="n">
        <v>131</v>
      </c>
      <c r="D253" s="8" t="inlineStr">
        <is>
          <t>Mercedes-Benz Sprinter 2500</t>
        </is>
      </c>
      <c r="E253" s="8" t="inlineStr">
        <is>
          <t>Charles Johnson</t>
        </is>
      </c>
      <c r="F253" s="8" t="inlineStr">
        <is>
          <t>charles@springvalleyshuttlesinc.com</t>
        </is>
      </c>
      <c r="G253" s="8" t="inlineStr">
        <is>
          <t>702-555-2218</t>
        </is>
      </c>
      <c r="H253" s="9" t="inlineStr">
        <is>
          <t>DOT99709</t>
        </is>
      </c>
      <c r="I253" s="11" t="n">
        <v>0.327</v>
      </c>
      <c r="J253" s="8" t="inlineStr">
        <is>
          <t>Sprinter AC Comp Condensation Drain Backup Wiring Short</t>
        </is>
      </c>
      <c r="K253" s="9" t="inlineStr">
        <is>
          <t>Audit Run</t>
        </is>
      </c>
      <c r="L253" s="12">
        <f>IF(C253&gt;0, 99 + (C253 * 2.5), 0)</f>
        <v/>
      </c>
    </row>
    <row r="254">
      <c r="A254" s="13" t="inlineStr">
        <is>
          <t>Vegas Valley Shuttles Inc</t>
        </is>
      </c>
      <c r="B254" s="14" t="inlineStr">
        <is>
          <t>Boutique Transit</t>
        </is>
      </c>
      <c r="C254" s="15" t="n">
        <v>14</v>
      </c>
      <c r="D254" s="13" t="inlineStr">
        <is>
          <t>Mercedes-Benz Sprinter 3500</t>
        </is>
      </c>
      <c r="E254" s="13" t="inlineStr">
        <is>
          <t>Richard Jackson</t>
        </is>
      </c>
      <c r="F254" s="13" t="inlineStr">
        <is>
          <t>richard@vegasvalleyshuttlesinc.com</t>
        </is>
      </c>
      <c r="G254" s="13" t="inlineStr">
        <is>
          <t>702-555-3362</t>
        </is>
      </c>
      <c r="H254" s="14" t="inlineStr">
        <is>
          <t>DOT62205</t>
        </is>
      </c>
      <c r="I254" s="16" t="n">
        <v>0.328</v>
      </c>
      <c r="J254" s="13" t="inlineStr">
        <is>
          <t>Sprinter AC Comp Condensation Drain Backup Wiring Short</t>
        </is>
      </c>
      <c r="K254" s="14" t="inlineStr">
        <is>
          <t>Warm Prospect</t>
        </is>
      </c>
      <c r="L254" s="17">
        <f>IF(C254&gt;0, 99 + (C254 * 2.5), 0)</f>
        <v/>
      </c>
    </row>
    <row r="255">
      <c r="A255" s="8" t="inlineStr">
        <is>
          <t>Las Vegas Plumbing &amp; Drain Group</t>
        </is>
      </c>
      <c r="B255" s="9" t="inlineStr">
        <is>
          <t>HVAC/Plumbing</t>
        </is>
      </c>
      <c r="C255" s="10" t="n">
        <v>148</v>
      </c>
      <c r="D255" s="8" t="inlineStr">
        <is>
          <t>GMC Savana 2500</t>
        </is>
      </c>
      <c r="E255" s="8" t="inlineStr">
        <is>
          <t>Daniel Gonzalez</t>
        </is>
      </c>
      <c r="F255" s="8" t="inlineStr">
        <is>
          <t>daniel@lasvegasplumbingdraingroup.com</t>
        </is>
      </c>
      <c r="G255" s="8" t="inlineStr">
        <is>
          <t>702-555-3292</t>
        </is>
      </c>
      <c r="H255" s="9" t="inlineStr">
        <is>
          <t>DOT20279</t>
        </is>
      </c>
      <c r="I255" s="11" t="n">
        <v>0.195</v>
      </c>
      <c r="J255" s="8" t="inlineStr">
        <is>
          <t>Savana Desert Fuel Line Seal Degradation Failure</t>
        </is>
      </c>
      <c r="K255" s="9" t="inlineStr">
        <is>
          <t>Warm Prospect</t>
        </is>
      </c>
      <c r="L255" s="12">
        <f>IF(C255&gt;0, 99 + (C255 * 2.5), 0)</f>
        <v/>
      </c>
    </row>
    <row r="256">
      <c r="A256" s="13" t="inlineStr">
        <is>
          <t>Apex Comfort Heating Inc</t>
        </is>
      </c>
      <c r="B256" s="14" t="inlineStr">
        <is>
          <t>HVAC/Plumbing</t>
        </is>
      </c>
      <c r="C256" s="15" t="n">
        <v>97</v>
      </c>
      <c r="D256" s="13" t="inlineStr">
        <is>
          <t>Ford Transit 250</t>
        </is>
      </c>
      <c r="E256" s="13" t="inlineStr">
        <is>
          <t>Kenneth Martin</t>
        </is>
      </c>
      <c r="F256" s="13" t="inlineStr">
        <is>
          <t>kenneth@apexcomfortheatinginc.com</t>
        </is>
      </c>
      <c r="G256" s="13" t="inlineStr">
        <is>
          <t>702-555-7499</t>
        </is>
      </c>
      <c r="H256" s="14" t="inlineStr">
        <is>
          <t>DOT52778</t>
        </is>
      </c>
      <c r="I256" s="16" t="n">
        <v>0.049</v>
      </c>
      <c r="J256" s="13" t="inlineStr">
        <is>
          <t>Transit 114°F Electrical Module Overheat Wire Ground Fire Risk</t>
        </is>
      </c>
      <c r="K256" s="14" t="inlineStr">
        <is>
          <t>Warm Prospect</t>
        </is>
      </c>
      <c r="L256" s="17">
        <f>IF(C256&gt;0, 99 + (C256 * 2.5), 0)</f>
        <v/>
      </c>
    </row>
    <row r="257">
      <c r="A257" s="8" t="inlineStr">
        <is>
          <t>First Choice Power Systems LLC</t>
        </is>
      </c>
      <c r="B257" s="9" t="inlineStr">
        <is>
          <t>Electrical Services</t>
        </is>
      </c>
      <c r="C257" s="10" t="n">
        <v>120</v>
      </c>
      <c r="D257" s="8" t="inlineStr">
        <is>
          <t>Ram ProMaster 1500</t>
        </is>
      </c>
      <c r="E257" s="8" t="inlineStr">
        <is>
          <t>William Jackson</t>
        </is>
      </c>
      <c r="F257" s="8" t="inlineStr">
        <is>
          <t>william@firstchoicepowersystemsllc.com</t>
        </is>
      </c>
      <c r="G257" s="8" t="inlineStr">
        <is>
          <t>702-555-7227</t>
        </is>
      </c>
      <c r="H257" s="9" t="inlineStr">
        <is>
          <t>DOT21232</t>
        </is>
      </c>
      <c r="I257" s="11" t="n">
        <v>0.279</v>
      </c>
      <c r="J257" s="8" t="inlineStr">
        <is>
          <t>ProMaster Brake Line Rubbing Collision Abrasion Leak</t>
        </is>
      </c>
      <c r="K257" s="9" t="inlineStr">
        <is>
          <t>Warm Prospect</t>
        </is>
      </c>
      <c r="L257" s="12">
        <f>IF(C257&gt;0, 99 + (C257 * 2.5), 0)</f>
        <v/>
      </c>
    </row>
    <row r="258">
      <c r="A258" s="13" t="inlineStr">
        <is>
          <t>Clark County Air Conditioning Inc</t>
        </is>
      </c>
      <c r="B258" s="14" t="inlineStr">
        <is>
          <t>HVAC/Plumbing</t>
        </is>
      </c>
      <c r="C258" s="15" t="n">
        <v>49</v>
      </c>
      <c r="D258" s="13" t="inlineStr">
        <is>
          <t>Ford Transit 150</t>
        </is>
      </c>
      <c r="E258" s="13" t="inlineStr">
        <is>
          <t>Anthony Jones</t>
        </is>
      </c>
      <c r="F258" s="13" t="inlineStr">
        <is>
          <t>anthony@clarkcountyairconditioninginc.com</t>
        </is>
      </c>
      <c r="G258" s="13" t="inlineStr">
        <is>
          <t>702-555-7383</t>
        </is>
      </c>
      <c r="H258" s="14" t="inlineStr">
        <is>
          <t>DOT51507</t>
        </is>
      </c>
      <c r="I258" s="16" t="n">
        <v>0.152</v>
      </c>
      <c r="J258" s="13" t="inlineStr">
        <is>
          <t>Transit 114°F Electrical Module Overheat Wire Ground Fire Risk</t>
        </is>
      </c>
      <c r="K258" s="14" t="inlineStr">
        <is>
          <t>Warm Prospect</t>
        </is>
      </c>
      <c r="L258" s="17">
        <f>IF(C258&gt;0, 99 + (C258 * 2.5), 0)</f>
        <v/>
      </c>
    </row>
    <row r="259">
      <c r="A259" s="8" t="inlineStr">
        <is>
          <t>Mojave Comfort Heating LLC</t>
        </is>
      </c>
      <c r="B259" s="9" t="inlineStr">
        <is>
          <t>HVAC/Plumbing</t>
        </is>
      </c>
      <c r="C259" s="10" t="n">
        <v>36</v>
      </c>
      <c r="D259" s="8" t="inlineStr">
        <is>
          <t>Ford Transit 150</t>
        </is>
      </c>
      <c r="E259" s="8" t="inlineStr">
        <is>
          <t>David Williams</t>
        </is>
      </c>
      <c r="F259" s="8" t="inlineStr">
        <is>
          <t>david@mojavecomfortheatingllc.com</t>
        </is>
      </c>
      <c r="G259" s="8" t="inlineStr">
        <is>
          <t>702-555-4070</t>
        </is>
      </c>
      <c r="H259" s="9" t="inlineStr">
        <is>
          <t>DOT66489</t>
        </is>
      </c>
      <c r="I259" s="11" t="n">
        <v>0.179</v>
      </c>
      <c r="J259" s="8" t="inlineStr">
        <is>
          <t>Transit 114°F Electrical Module Overheat Wire Ground Fire Risk</t>
        </is>
      </c>
      <c r="K259" s="9" t="inlineStr">
        <is>
          <t>Audit Run</t>
        </is>
      </c>
      <c r="L259" s="12">
        <f>IF(C259&gt;0, 99 + (C259 * 2.5), 0)</f>
        <v/>
      </c>
    </row>
    <row r="260">
      <c r="A260" s="13" t="inlineStr">
        <is>
          <t>Titan Shuttles Inc</t>
        </is>
      </c>
      <c r="B260" s="14" t="inlineStr">
        <is>
          <t>Boutique Transit</t>
        </is>
      </c>
      <c r="C260" s="15" t="n">
        <v>100</v>
      </c>
      <c r="D260" s="13" t="inlineStr">
        <is>
          <t>Mercedes-Benz Sprinter 2500</t>
        </is>
      </c>
      <c r="E260" s="13" t="inlineStr">
        <is>
          <t>Andrew Williams</t>
        </is>
      </c>
      <c r="F260" s="13" t="inlineStr">
        <is>
          <t>andrew@titanshuttlesinc.com</t>
        </is>
      </c>
      <c r="G260" s="13" t="inlineStr">
        <is>
          <t>702-555-6315</t>
        </is>
      </c>
      <c r="H260" s="14" t="inlineStr">
        <is>
          <t>DOT60493</t>
        </is>
      </c>
      <c r="I260" s="16" t="n">
        <v>0.044</v>
      </c>
      <c r="J260" s="13" t="inlineStr">
        <is>
          <t>Sprinter AC Comp Condensation Drain Backup Wiring Short</t>
        </is>
      </c>
      <c r="K260" s="14" t="inlineStr">
        <is>
          <t>Warm Prospect</t>
        </is>
      </c>
      <c r="L260" s="17">
        <f>IF(C260&gt;0, 99 + (C260 * 2.5), 0)</f>
        <v/>
      </c>
    </row>
    <row r="261">
      <c r="A261" s="8" t="inlineStr">
        <is>
          <t>Henderson Electric &amp; Solar Group</t>
        </is>
      </c>
      <c r="B261" s="9" t="inlineStr">
        <is>
          <t>Electrical Services</t>
        </is>
      </c>
      <c r="C261" s="10" t="n">
        <v>143</v>
      </c>
      <c r="D261" s="8" t="inlineStr">
        <is>
          <t>Chevy Express 3500</t>
        </is>
      </c>
      <c r="E261" s="8" t="inlineStr">
        <is>
          <t>William Gonzalez</t>
        </is>
      </c>
      <c r="F261" s="8" t="inlineStr">
        <is>
          <t>william@hendersonelectricsolargroup.com</t>
        </is>
      </c>
      <c r="G261" s="8" t="inlineStr">
        <is>
          <t>702-555-3777</t>
        </is>
      </c>
      <c r="H261" s="9" t="inlineStr">
        <is>
          <t>DOT28198</t>
        </is>
      </c>
      <c r="I261" s="11" t="n">
        <v>0.123</v>
      </c>
      <c r="J261" s="8" t="inlineStr">
        <is>
          <t>Express Engine Bay Hose Thermal Crack Hazard</t>
        </is>
      </c>
      <c r="K261" s="9" t="inlineStr">
        <is>
          <t>Warm Prospect</t>
        </is>
      </c>
      <c r="L261" s="12">
        <f>IF(C261&gt;0, 99 + (C261 * 2.5), 0)</f>
        <v/>
      </c>
    </row>
    <row r="262">
      <c r="A262" s="13" t="inlineStr">
        <is>
          <t>Red Rock Electric &amp; Solar Inc</t>
        </is>
      </c>
      <c r="B262" s="14" t="inlineStr">
        <is>
          <t>Electrical Services</t>
        </is>
      </c>
      <c r="C262" s="15" t="n">
        <v>80</v>
      </c>
      <c r="D262" s="13" t="inlineStr">
        <is>
          <t>Ram ProMaster 1500</t>
        </is>
      </c>
      <c r="E262" s="13" t="inlineStr">
        <is>
          <t>Mark Martinez</t>
        </is>
      </c>
      <c r="F262" s="13" t="inlineStr">
        <is>
          <t>mark@redrockelectricsolarinc.com</t>
        </is>
      </c>
      <c r="G262" s="13" t="inlineStr">
        <is>
          <t>702-555-8933</t>
        </is>
      </c>
      <c r="H262" s="14" t="inlineStr">
        <is>
          <t>DOT20082</t>
        </is>
      </c>
      <c r="I262" s="16" t="n">
        <v>0.152</v>
      </c>
      <c r="J262" s="13" t="inlineStr">
        <is>
          <t>ProMaster Brake Line Rubbing Collision Abrasion Leak</t>
        </is>
      </c>
      <c r="K262" s="14" t="inlineStr">
        <is>
          <t>Warm Prospect</t>
        </is>
      </c>
      <c r="L262" s="17">
        <f>IF(C262&gt;0, 99 + (C262 * 2.5), 0)</f>
        <v/>
      </c>
    </row>
    <row r="263">
      <c r="A263" s="8" t="inlineStr">
        <is>
          <t>Vegas Valley Tours &amp; Transit Group</t>
        </is>
      </c>
      <c r="B263" s="9" t="inlineStr">
        <is>
          <t>Boutique Transit</t>
        </is>
      </c>
      <c r="C263" s="10" t="n">
        <v>60</v>
      </c>
      <c r="D263" s="8" t="inlineStr">
        <is>
          <t>Ford Transit 350</t>
        </is>
      </c>
      <c r="E263" s="8" t="inlineStr">
        <is>
          <t>Donald Brown</t>
        </is>
      </c>
      <c r="F263" s="8" t="inlineStr">
        <is>
          <t>donald@vegasvalleytourstransitgroup.com</t>
        </is>
      </c>
      <c r="G263" s="8" t="inlineStr">
        <is>
          <t>702-555-3219</t>
        </is>
      </c>
      <c r="H263" s="9" t="inlineStr">
        <is>
          <t>DOT49932</t>
        </is>
      </c>
      <c r="I263" s="11" t="n">
        <v>0.042</v>
      </c>
      <c r="J263" s="8" t="inlineStr">
        <is>
          <t>Transit 114°F Electrical Module Overheat Wire Ground Fire Risk</t>
        </is>
      </c>
      <c r="K263" s="9" t="inlineStr">
        <is>
          <t>Warm Prospect</t>
        </is>
      </c>
      <c r="L263" s="12">
        <f>IF(C263&gt;0, 99 + (C263 * 2.5), 0)</f>
        <v/>
      </c>
    </row>
    <row r="264">
      <c r="A264" s="13" t="inlineStr">
        <is>
          <t>Summerlin Lighting &amp; Power LLC</t>
        </is>
      </c>
      <c r="B264" s="14" t="inlineStr">
        <is>
          <t>Electrical Services</t>
        </is>
      </c>
      <c r="C264" s="15" t="n">
        <v>122</v>
      </c>
      <c r="D264" s="13" t="inlineStr">
        <is>
          <t>Ram ProMaster 2500</t>
        </is>
      </c>
      <c r="E264" s="13" t="inlineStr">
        <is>
          <t>Daniel Wilson</t>
        </is>
      </c>
      <c r="F264" s="13" t="inlineStr">
        <is>
          <t>daniel@summerlinlightingpowerllc.com</t>
        </is>
      </c>
      <c r="G264" s="13" t="inlineStr">
        <is>
          <t>702-555-3230</t>
        </is>
      </c>
      <c r="H264" s="14" t="inlineStr">
        <is>
          <t>DOT49378</t>
        </is>
      </c>
      <c r="I264" s="16" t="n">
        <v>0.139</v>
      </c>
      <c r="J264" s="13" t="inlineStr">
        <is>
          <t>ProMaster Brake Line Rubbing Collision Abrasion Leak</t>
        </is>
      </c>
      <c r="K264" s="14" t="inlineStr">
        <is>
          <t>Warm Prospect</t>
        </is>
      </c>
      <c r="L264" s="17">
        <f>IF(C264&gt;0, 99 + (C264 * 2.5), 0)</f>
        <v/>
      </c>
    </row>
    <row r="265">
      <c r="A265" s="8" t="inlineStr">
        <is>
          <t>Valley Power Systems LLC</t>
        </is>
      </c>
      <c r="B265" s="9" t="inlineStr">
        <is>
          <t>Electrical Services</t>
        </is>
      </c>
      <c r="C265" s="10" t="n">
        <v>84</v>
      </c>
      <c r="D265" s="8" t="inlineStr">
        <is>
          <t>Ram ProMaster 2500</t>
        </is>
      </c>
      <c r="E265" s="8" t="inlineStr">
        <is>
          <t>Steven Jackson</t>
        </is>
      </c>
      <c r="F265" s="8" t="inlineStr">
        <is>
          <t>steven@valleypowersystemsllc.com</t>
        </is>
      </c>
      <c r="G265" s="8" t="inlineStr">
        <is>
          <t>702-555-4971</t>
        </is>
      </c>
      <c r="H265" s="9" t="inlineStr">
        <is>
          <t>DOT52714</t>
        </is>
      </c>
      <c r="I265" s="11" t="n">
        <v>0.157</v>
      </c>
      <c r="J265" s="8" t="inlineStr">
        <is>
          <t>ProMaster Brake Line Rubbing Collision Abrasion Leak</t>
        </is>
      </c>
      <c r="K265" s="9" t="inlineStr">
        <is>
          <t>Warm Prospect</t>
        </is>
      </c>
      <c r="L265" s="12">
        <f>IF(C265&gt;0, 99 + (C265 * 2.5), 0)</f>
        <v/>
      </c>
    </row>
    <row r="266">
      <c r="A266" s="13" t="inlineStr">
        <is>
          <t>Apex Lighting &amp; Power Inc</t>
        </is>
      </c>
      <c r="B266" s="14" t="inlineStr">
        <is>
          <t>Electrical Services</t>
        </is>
      </c>
      <c r="C266" s="15" t="n">
        <v>150</v>
      </c>
      <c r="D266" s="13" t="inlineStr">
        <is>
          <t>Chevy Express 3500</t>
        </is>
      </c>
      <c r="E266" s="13" t="inlineStr">
        <is>
          <t>John Anderson</t>
        </is>
      </c>
      <c r="F266" s="13" t="inlineStr">
        <is>
          <t>john@apexlightingpowerinc.com</t>
        </is>
      </c>
      <c r="G266" s="13" t="inlineStr">
        <is>
          <t>702-555-4434</t>
        </is>
      </c>
      <c r="H266" s="14" t="inlineStr">
        <is>
          <t>DOT67469</t>
        </is>
      </c>
      <c r="I266" s="16" t="n">
        <v>0.287</v>
      </c>
      <c r="J266" s="13" t="inlineStr">
        <is>
          <t>Express Engine Bay Hose Thermal Crack Hazard</t>
        </is>
      </c>
      <c r="K266" s="14" t="inlineStr">
        <is>
          <t>Warm Prospect</t>
        </is>
      </c>
      <c r="L266" s="17">
        <f>IF(C266&gt;0, 99 + (C266 * 2.5), 0)</f>
        <v/>
      </c>
    </row>
    <row r="267">
      <c r="A267" s="8" t="inlineStr">
        <is>
          <t>Vegas Valley Wiring Solutions Inc</t>
        </is>
      </c>
      <c r="B267" s="9" t="inlineStr">
        <is>
          <t>Electrical Services</t>
        </is>
      </c>
      <c r="C267" s="10" t="n">
        <v>71</v>
      </c>
      <c r="D267" s="8" t="inlineStr">
        <is>
          <t>Ram ProMaster 2500</t>
        </is>
      </c>
      <c r="E267" s="8" t="inlineStr">
        <is>
          <t>Charles Jones</t>
        </is>
      </c>
      <c r="F267" s="8" t="inlineStr">
        <is>
          <t>charles@vegasvalleywiringsolutionsinc.com</t>
        </is>
      </c>
      <c r="G267" s="8" t="inlineStr">
        <is>
          <t>702-555-7932</t>
        </is>
      </c>
      <c r="H267" s="9" t="inlineStr">
        <is>
          <t>DOT59412</t>
        </is>
      </c>
      <c r="I267" s="11" t="n">
        <v>0.063</v>
      </c>
      <c r="J267" s="8" t="inlineStr">
        <is>
          <t>ProMaster Brake Line Rubbing Collision Abrasion Leak</t>
        </is>
      </c>
      <c r="K267" s="9" t="inlineStr">
        <is>
          <t>Audit Run</t>
        </is>
      </c>
      <c r="L267" s="12">
        <f>IF(C267&gt;0, 99 + (C267 * 2.5), 0)</f>
        <v/>
      </c>
    </row>
    <row r="268">
      <c r="A268" s="13" t="inlineStr">
        <is>
          <t>Las Vegas Wiring Solutions Group</t>
        </is>
      </c>
      <c r="B268" s="14" t="inlineStr">
        <is>
          <t>Electrical Services</t>
        </is>
      </c>
      <c r="C268" s="15" t="n">
        <v>149</v>
      </c>
      <c r="D268" s="13" t="inlineStr">
        <is>
          <t>Ram ProMaster 1500</t>
        </is>
      </c>
      <c r="E268" s="13" t="inlineStr">
        <is>
          <t>Michael Lopez</t>
        </is>
      </c>
      <c r="F268" s="13" t="inlineStr">
        <is>
          <t>michael@lasvegaswiringsolutionsgroup.com</t>
        </is>
      </c>
      <c r="G268" s="13" t="inlineStr">
        <is>
          <t>702-555-9796</t>
        </is>
      </c>
      <c r="H268" s="14" t="inlineStr">
        <is>
          <t>DOT87833</t>
        </is>
      </c>
      <c r="I268" s="16" t="n">
        <v>0.238</v>
      </c>
      <c r="J268" s="13" t="inlineStr">
        <is>
          <t>ProMaster Brake Line Rubbing Collision Abrasion Leak</t>
        </is>
      </c>
      <c r="K268" s="14" t="inlineStr">
        <is>
          <t>Warm Prospect</t>
        </is>
      </c>
      <c r="L268" s="17">
        <f>IF(C268&gt;0, 99 + (C268 * 2.5), 0)</f>
        <v/>
      </c>
    </row>
    <row r="269">
      <c r="A269" s="8" t="inlineStr">
        <is>
          <t>Henderson Plumbing &amp; Drain Group</t>
        </is>
      </c>
      <c r="B269" s="9" t="inlineStr">
        <is>
          <t>HVAC/Plumbing</t>
        </is>
      </c>
      <c r="C269" s="10" t="n">
        <v>52</v>
      </c>
      <c r="D269" s="8" t="inlineStr">
        <is>
          <t>Ford Transit 150</t>
        </is>
      </c>
      <c r="E269" s="8" t="inlineStr">
        <is>
          <t>Kenneth Johnson</t>
        </is>
      </c>
      <c r="F269" s="8" t="inlineStr">
        <is>
          <t>kenneth@hendersonplumbingdraingroup.com</t>
        </is>
      </c>
      <c r="G269" s="8" t="inlineStr">
        <is>
          <t>702-555-7547</t>
        </is>
      </c>
      <c r="H269" s="9" t="inlineStr">
        <is>
          <t>DOT53463</t>
        </is>
      </c>
      <c r="I269" s="11" t="n">
        <v>0.339</v>
      </c>
      <c r="J269" s="8" t="inlineStr">
        <is>
          <t>Transit 114°F Electrical Module Overheat Wire Ground Fire Risk</t>
        </is>
      </c>
      <c r="K269" s="9" t="inlineStr">
        <is>
          <t>Warm Prospect</t>
        </is>
      </c>
      <c r="L269" s="12">
        <f>IF(C269&gt;0, 99 + (C269 * 2.5), 0)</f>
        <v/>
      </c>
    </row>
    <row r="270">
      <c r="A270" s="13" t="inlineStr">
        <is>
          <t>Silver State Air Conditioning LLC</t>
        </is>
      </c>
      <c r="B270" s="14" t="inlineStr">
        <is>
          <t>HVAC/Plumbing</t>
        </is>
      </c>
      <c r="C270" s="15" t="n">
        <v>140</v>
      </c>
      <c r="D270" s="13" t="inlineStr">
        <is>
          <t>Ford Transit 350</t>
        </is>
      </c>
      <c r="E270" s="13" t="inlineStr">
        <is>
          <t>Paul Moore</t>
        </is>
      </c>
      <c r="F270" s="13" t="inlineStr">
        <is>
          <t>paul@silverstateairconditioningllc.com</t>
        </is>
      </c>
      <c r="G270" s="13" t="inlineStr">
        <is>
          <t>702-555-4621</t>
        </is>
      </c>
      <c r="H270" s="14" t="inlineStr">
        <is>
          <t>DOT68429</t>
        </is>
      </c>
      <c r="I270" s="16" t="n">
        <v>0.156</v>
      </c>
      <c r="J270" s="13" t="inlineStr">
        <is>
          <t>Transit 114°F Electrical Module Overheat Wire Ground Fire Risk</t>
        </is>
      </c>
      <c r="K270" s="14" t="inlineStr">
        <is>
          <t>Warm Prospect</t>
        </is>
      </c>
      <c r="L270" s="17">
        <f>IF(C270&gt;0, 99 + (C270 * 2.5), 0)</f>
        <v/>
      </c>
    </row>
    <row r="271">
      <c r="A271" s="8" t="inlineStr">
        <is>
          <t>Las Vegas Charter Buses Group</t>
        </is>
      </c>
      <c r="B271" s="9" t="inlineStr">
        <is>
          <t>Boutique Transit</t>
        </is>
      </c>
      <c r="C271" s="10" t="n">
        <v>98</v>
      </c>
      <c r="D271" s="8" t="inlineStr">
        <is>
          <t>Mercedes-Benz Sprinter 2500</t>
        </is>
      </c>
      <c r="E271" s="8" t="inlineStr">
        <is>
          <t>John Thomas</t>
        </is>
      </c>
      <c r="F271" s="8" t="inlineStr">
        <is>
          <t>john@lasvegascharterbusesgroup.com</t>
        </is>
      </c>
      <c r="G271" s="8" t="inlineStr">
        <is>
          <t>702-555-2712</t>
        </is>
      </c>
      <c r="H271" s="9" t="inlineStr">
        <is>
          <t>DOT48722</t>
        </is>
      </c>
      <c r="I271" s="11" t="n">
        <v>0.169</v>
      </c>
      <c r="J271" s="8" t="inlineStr">
        <is>
          <t>Sprinter AC Comp Condensation Drain Backup Wiring Short</t>
        </is>
      </c>
      <c r="K271" s="9" t="inlineStr">
        <is>
          <t>Warm Prospect</t>
        </is>
      </c>
      <c r="L271" s="12">
        <f>IF(C271&gt;0, 99 + (C271 * 2.5), 0)</f>
        <v/>
      </c>
    </row>
    <row r="272">
      <c r="A272" s="13" t="inlineStr">
        <is>
          <t>Summerlin Mechanical Services Inc</t>
        </is>
      </c>
      <c r="B272" s="14" t="inlineStr">
        <is>
          <t>HVAC/Plumbing</t>
        </is>
      </c>
      <c r="C272" s="15" t="n">
        <v>89</v>
      </c>
      <c r="D272" s="13" t="inlineStr">
        <is>
          <t>Ford Transit 150</t>
        </is>
      </c>
      <c r="E272" s="13" t="inlineStr">
        <is>
          <t>Daniel Anderson</t>
        </is>
      </c>
      <c r="F272" s="13" t="inlineStr">
        <is>
          <t>daniel@summerlinmechanicalservicesinc.com</t>
        </is>
      </c>
      <c r="G272" s="13" t="inlineStr">
        <is>
          <t>702-555-4389</t>
        </is>
      </c>
      <c r="H272" s="14" t="inlineStr">
        <is>
          <t>DOT78303</t>
        </is>
      </c>
      <c r="I272" s="16" t="n">
        <v>0.19</v>
      </c>
      <c r="J272" s="13" t="inlineStr">
        <is>
          <t>Transit 114°F Electrical Module Overheat Wire Ground Fire Risk</t>
        </is>
      </c>
      <c r="K272" s="14" t="inlineStr">
        <is>
          <t>Warm Prospect</t>
        </is>
      </c>
      <c r="L272" s="17">
        <f>IF(C272&gt;0, 99 + (C272 * 2.5), 0)</f>
        <v/>
      </c>
    </row>
    <row r="273">
      <c r="A273" s="8" t="inlineStr">
        <is>
          <t>First Choice Mechanical Services Group</t>
        </is>
      </c>
      <c r="B273" s="9" t="inlineStr">
        <is>
          <t>HVAC/Plumbing</t>
        </is>
      </c>
      <c r="C273" s="10" t="n">
        <v>91</v>
      </c>
      <c r="D273" s="8" t="inlineStr">
        <is>
          <t>GMC Savana 2500</t>
        </is>
      </c>
      <c r="E273" s="8" t="inlineStr">
        <is>
          <t>James Martinez</t>
        </is>
      </c>
      <c r="F273" s="8" t="inlineStr">
        <is>
          <t>james@firstchoicemechanicalservicesgroup.com</t>
        </is>
      </c>
      <c r="G273" s="8" t="inlineStr">
        <is>
          <t>702-555-1732</t>
        </is>
      </c>
      <c r="H273" s="9" t="inlineStr">
        <is>
          <t>DOT25084</t>
        </is>
      </c>
      <c r="I273" s="11" t="n">
        <v>0.047</v>
      </c>
      <c r="J273" s="8" t="inlineStr">
        <is>
          <t>Savana Desert Fuel Line Seal Degradation Failure</t>
        </is>
      </c>
      <c r="K273" s="9" t="inlineStr">
        <is>
          <t>Warm Prospect</t>
        </is>
      </c>
      <c r="L273" s="12">
        <f>IF(C273&gt;0, 99 + (C273 * 2.5), 0)</f>
        <v/>
      </c>
    </row>
    <row r="274">
      <c r="A274" s="13" t="inlineStr">
        <is>
          <t>Apex Charter Buses Inc</t>
        </is>
      </c>
      <c r="B274" s="14" t="inlineStr">
        <is>
          <t>Boutique Transit</t>
        </is>
      </c>
      <c r="C274" s="15" t="n">
        <v>72</v>
      </c>
      <c r="D274" s="13" t="inlineStr">
        <is>
          <t>Ford Transit 350</t>
        </is>
      </c>
      <c r="E274" s="13" t="inlineStr">
        <is>
          <t>Paul Garcia</t>
        </is>
      </c>
      <c r="F274" s="13" t="inlineStr">
        <is>
          <t>paul@apexcharterbusesinc.com</t>
        </is>
      </c>
      <c r="G274" s="13" t="inlineStr">
        <is>
          <t>702-555-3623</t>
        </is>
      </c>
      <c r="H274" s="14" t="inlineStr">
        <is>
          <t>DOT53383</t>
        </is>
      </c>
      <c r="I274" s="16" t="n">
        <v>0.214</v>
      </c>
      <c r="J274" s="13" t="inlineStr">
        <is>
          <t>Transit 114°F Electrical Module Overheat Wire Ground Fire Risk</t>
        </is>
      </c>
      <c r="K274" s="14" t="inlineStr">
        <is>
          <t>Warm Prospect</t>
        </is>
      </c>
      <c r="L274" s="17">
        <f>IF(C274&gt;0, 99 + (C274 * 2.5), 0)</f>
        <v/>
      </c>
    </row>
    <row r="275">
      <c r="A275" s="8" t="inlineStr">
        <is>
          <t>Henderson Comfort Heating Group</t>
        </is>
      </c>
      <c r="B275" s="9" t="inlineStr">
        <is>
          <t>HVAC/Plumbing</t>
        </is>
      </c>
      <c r="C275" s="10" t="n">
        <v>57</v>
      </c>
      <c r="D275" s="8" t="inlineStr">
        <is>
          <t>Ford Transit 350</t>
        </is>
      </c>
      <c r="E275" s="8" t="inlineStr">
        <is>
          <t>Mark Gonzalez</t>
        </is>
      </c>
      <c r="F275" s="8" t="inlineStr">
        <is>
          <t>mark@hendersoncomfortheatinggroup.com</t>
        </is>
      </c>
      <c r="G275" s="8" t="inlineStr">
        <is>
          <t>702-555-1478</t>
        </is>
      </c>
      <c r="H275" s="9" t="inlineStr">
        <is>
          <t>DOT90492</t>
        </is>
      </c>
      <c r="I275" s="11" t="n">
        <v>0.314</v>
      </c>
      <c r="J275" s="8" t="inlineStr">
        <is>
          <t>Transit 114°F Electrical Module Overheat Wire Ground Fire Risk</t>
        </is>
      </c>
      <c r="K275" s="9" t="inlineStr">
        <is>
          <t>Warm Prospect</t>
        </is>
      </c>
      <c r="L275" s="12">
        <f>IF(C275&gt;0, 99 + (C275 * 2.5), 0)</f>
        <v/>
      </c>
    </row>
    <row r="276">
      <c r="A276" s="13" t="inlineStr">
        <is>
          <t>Titan Tours &amp; Transit Inc</t>
        </is>
      </c>
      <c r="B276" s="14" t="inlineStr">
        <is>
          <t>Boutique Transit</t>
        </is>
      </c>
      <c r="C276" s="15" t="n">
        <v>64</v>
      </c>
      <c r="D276" s="13" t="inlineStr">
        <is>
          <t>Ford Transit 350</t>
        </is>
      </c>
      <c r="E276" s="13" t="inlineStr">
        <is>
          <t>Richard Rodriguez</t>
        </is>
      </c>
      <c r="F276" s="13" t="inlineStr">
        <is>
          <t>richard@titantourstransitinc.com</t>
        </is>
      </c>
      <c r="G276" s="13" t="inlineStr">
        <is>
          <t>702-555-2025</t>
        </is>
      </c>
      <c r="H276" s="14" t="inlineStr">
        <is>
          <t>DOT85674</t>
        </is>
      </c>
      <c r="I276" s="16" t="n">
        <v>0.07199999999999999</v>
      </c>
      <c r="J276" s="13" t="inlineStr">
        <is>
          <t>Transit 114°F Electrical Module Overheat Wire Ground Fire Risk</t>
        </is>
      </c>
      <c r="K276" s="14" t="inlineStr">
        <is>
          <t>Audit Run</t>
        </is>
      </c>
      <c r="L276" s="17">
        <f>IF(C276&gt;0, 99 + (C276 * 2.5), 0)</f>
        <v/>
      </c>
    </row>
    <row r="277">
      <c r="A277" s="8" t="inlineStr">
        <is>
          <t>Valley HVAC Services Inc</t>
        </is>
      </c>
      <c r="B277" s="9" t="inlineStr">
        <is>
          <t>HVAC/Plumbing</t>
        </is>
      </c>
      <c r="C277" s="10" t="n">
        <v>39</v>
      </c>
      <c r="D277" s="8" t="inlineStr">
        <is>
          <t>GMC Savana 2500</t>
        </is>
      </c>
      <c r="E277" s="8" t="inlineStr">
        <is>
          <t>Charles Thomas</t>
        </is>
      </c>
      <c r="F277" s="8" t="inlineStr">
        <is>
          <t>charles@valleyhvacservicesinc.com</t>
        </is>
      </c>
      <c r="G277" s="8" t="inlineStr">
        <is>
          <t>702-555-9646</t>
        </is>
      </c>
      <c r="H277" s="9" t="inlineStr">
        <is>
          <t>DOT93769</t>
        </is>
      </c>
      <c r="I277" s="11" t="n">
        <v>0.137</v>
      </c>
      <c r="J277" s="8" t="inlineStr">
        <is>
          <t>Savana Desert Fuel Line Seal Degradation Failure</t>
        </is>
      </c>
      <c r="K277" s="9" t="inlineStr">
        <is>
          <t>Warm Prospect</t>
        </is>
      </c>
      <c r="L277" s="12">
        <f>IF(C277&gt;0, 99 + (C277 * 2.5), 0)</f>
        <v/>
      </c>
    </row>
    <row r="278">
      <c r="A278" s="13" t="inlineStr">
        <is>
          <t>Titan Logistics Inc</t>
        </is>
      </c>
      <c r="B278" s="14" t="inlineStr">
        <is>
          <t>Boutique Transit</t>
        </is>
      </c>
      <c r="C278" s="15" t="n">
        <v>100</v>
      </c>
      <c r="D278" s="13" t="inlineStr">
        <is>
          <t>Mercedes-Benz Sprinter 3500</t>
        </is>
      </c>
      <c r="E278" s="13" t="inlineStr">
        <is>
          <t>Donald Martin</t>
        </is>
      </c>
      <c r="F278" s="13" t="inlineStr">
        <is>
          <t>donald@titanlogisticsinc.com</t>
        </is>
      </c>
      <c r="G278" s="13" t="inlineStr">
        <is>
          <t>702-555-3826</t>
        </is>
      </c>
      <c r="H278" s="14" t="inlineStr">
        <is>
          <t>DOT98288</t>
        </is>
      </c>
      <c r="I278" s="16" t="n">
        <v>0.259</v>
      </c>
      <c r="J278" s="13" t="inlineStr">
        <is>
          <t>Sprinter AC Comp Condensation Drain Backup Wiring Short</t>
        </is>
      </c>
      <c r="K278" s="14" t="inlineStr">
        <is>
          <t>Warm Prospect</t>
        </is>
      </c>
      <c r="L278" s="17">
        <f>IF(C278&gt;0, 99 + (C278 * 2.5), 0)</f>
        <v/>
      </c>
    </row>
    <row r="279">
      <c r="A279" s="8" t="inlineStr">
        <is>
          <t>Las Vegas Shuttles Group</t>
        </is>
      </c>
      <c r="B279" s="9" t="inlineStr">
        <is>
          <t>Boutique Transit</t>
        </is>
      </c>
      <c r="C279" s="10" t="n">
        <v>90</v>
      </c>
      <c r="D279" s="8" t="inlineStr">
        <is>
          <t>Mercedes-Benz Sprinter 2500</t>
        </is>
      </c>
      <c r="E279" s="8" t="inlineStr">
        <is>
          <t>Robert Davis</t>
        </is>
      </c>
      <c r="F279" s="8" t="inlineStr">
        <is>
          <t>robert@lasvegasshuttlesgroup.com</t>
        </is>
      </c>
      <c r="G279" s="8" t="inlineStr">
        <is>
          <t>702-555-6003</t>
        </is>
      </c>
      <c r="H279" s="9" t="inlineStr">
        <is>
          <t>DOT25328</t>
        </is>
      </c>
      <c r="I279" s="11" t="n">
        <v>0.097</v>
      </c>
      <c r="J279" s="8" t="inlineStr">
        <is>
          <t>Sprinter AC Comp Condensation Drain Backup Wiring Short</t>
        </is>
      </c>
      <c r="K279" s="9" t="inlineStr">
        <is>
          <t>Warm Prospect</t>
        </is>
      </c>
      <c r="L279" s="12">
        <f>IF(C279&gt;0, 99 + (C279 * 2.5), 0)</f>
        <v/>
      </c>
    </row>
    <row r="280">
      <c r="A280" s="13" t="inlineStr">
        <is>
          <t>Titan Tours &amp; Transit Group</t>
        </is>
      </c>
      <c r="B280" s="14" t="inlineStr">
        <is>
          <t>Boutique Transit</t>
        </is>
      </c>
      <c r="C280" s="15" t="n">
        <v>108</v>
      </c>
      <c r="D280" s="13" t="inlineStr">
        <is>
          <t>Mercedes-Benz Sprinter 2500</t>
        </is>
      </c>
      <c r="E280" s="13" t="inlineStr">
        <is>
          <t>Mark Garcia</t>
        </is>
      </c>
      <c r="F280" s="13" t="inlineStr">
        <is>
          <t>mark@titantourstransitgroup.com</t>
        </is>
      </c>
      <c r="G280" s="13" t="inlineStr">
        <is>
          <t>702-555-8973</t>
        </is>
      </c>
      <c r="H280" s="14" t="inlineStr">
        <is>
          <t>DOT93296</t>
        </is>
      </c>
      <c r="I280" s="16" t="n">
        <v>0.207</v>
      </c>
      <c r="J280" s="13" t="inlineStr">
        <is>
          <t>Sprinter AC Comp Condensation Drain Backup Wiring Short</t>
        </is>
      </c>
      <c r="K280" s="14" t="inlineStr">
        <is>
          <t>Warm Prospect</t>
        </is>
      </c>
      <c r="L280" s="17">
        <f>IF(C280&gt;0, 99 + (C280 * 2.5), 0)</f>
        <v/>
      </c>
    </row>
    <row r="281">
      <c r="A281" s="8" t="inlineStr">
        <is>
          <t>Red Rock Tours &amp; Transit LLC</t>
        </is>
      </c>
      <c r="B281" s="9" t="inlineStr">
        <is>
          <t>Boutique Transit</t>
        </is>
      </c>
      <c r="C281" s="10" t="n">
        <v>57</v>
      </c>
      <c r="D281" s="8" t="inlineStr">
        <is>
          <t>Mercedes-Benz Sprinter 2500</t>
        </is>
      </c>
      <c r="E281" s="8" t="inlineStr">
        <is>
          <t>Daniel Anderson</t>
        </is>
      </c>
      <c r="F281" s="8" t="inlineStr">
        <is>
          <t>daniel@redrocktourstransitllc.com</t>
        </is>
      </c>
      <c r="G281" s="8" t="inlineStr">
        <is>
          <t>702-555-1878</t>
        </is>
      </c>
      <c r="H281" s="9" t="inlineStr">
        <is>
          <t>DOT57059</t>
        </is>
      </c>
      <c r="I281" s="11" t="n">
        <v>0.335</v>
      </c>
      <c r="J281" s="8" t="inlineStr">
        <is>
          <t>Sprinter AC Comp Condensation Drain Backup Wiring Short</t>
        </is>
      </c>
      <c r="K281" s="9" t="inlineStr">
        <is>
          <t>Warm Prospect</t>
        </is>
      </c>
      <c r="L281" s="12">
        <f>IF(C281&gt;0, 99 + (C281 * 2.5), 0)</f>
        <v/>
      </c>
    </row>
    <row r="282">
      <c r="A282" s="13" t="inlineStr">
        <is>
          <t>Sunset Comfort Heating Group</t>
        </is>
      </c>
      <c r="B282" s="14" t="inlineStr">
        <is>
          <t>HVAC/Plumbing</t>
        </is>
      </c>
      <c r="C282" s="15" t="n">
        <v>136</v>
      </c>
      <c r="D282" s="13" t="inlineStr">
        <is>
          <t>Chevy Express 2500</t>
        </is>
      </c>
      <c r="E282" s="13" t="inlineStr">
        <is>
          <t>Mark Thomas</t>
        </is>
      </c>
      <c r="F282" s="13" t="inlineStr">
        <is>
          <t>mark@sunsetcomfortheatinggroup.com</t>
        </is>
      </c>
      <c r="G282" s="13" t="inlineStr">
        <is>
          <t>702-555-7809</t>
        </is>
      </c>
      <c r="H282" s="14" t="inlineStr">
        <is>
          <t>DOT68176</t>
        </is>
      </c>
      <c r="I282" s="16" t="n">
        <v>0.191</v>
      </c>
      <c r="J282" s="13" t="inlineStr">
        <is>
          <t>Express Engine Bay Hose Thermal Crack Hazard</t>
        </is>
      </c>
      <c r="K282" s="14" t="inlineStr">
        <is>
          <t>Warm Prospect</t>
        </is>
      </c>
      <c r="L282" s="17">
        <f>IF(C282&gt;0, 99 + (C282 * 2.5), 0)</f>
        <v/>
      </c>
    </row>
    <row r="283">
      <c r="A283" s="8" t="inlineStr">
        <is>
          <t>Silver State Airport Express LLC</t>
        </is>
      </c>
      <c r="B283" s="9" t="inlineStr">
        <is>
          <t>Boutique Transit</t>
        </is>
      </c>
      <c r="C283" s="10" t="n">
        <v>80</v>
      </c>
      <c r="D283" s="8" t="inlineStr">
        <is>
          <t>Mercedes-Benz Sprinter 2500</t>
        </is>
      </c>
      <c r="E283" s="8" t="inlineStr">
        <is>
          <t>Thomas Moore</t>
        </is>
      </c>
      <c r="F283" s="8" t="inlineStr">
        <is>
          <t>thomas@silverstateairportexpressllc.com</t>
        </is>
      </c>
      <c r="G283" s="8" t="inlineStr">
        <is>
          <t>702-555-5729</t>
        </is>
      </c>
      <c r="H283" s="9" t="inlineStr">
        <is>
          <t>DOT32047</t>
        </is>
      </c>
      <c r="I283" s="11" t="n">
        <v>0.282</v>
      </c>
      <c r="J283" s="8" t="inlineStr">
        <is>
          <t>Sprinter AC Comp Condensation Drain Backup Wiring Short</t>
        </is>
      </c>
      <c r="K283" s="9" t="inlineStr">
        <is>
          <t>Audit Run</t>
        </is>
      </c>
      <c r="L283" s="12">
        <f>IF(C283&gt;0, 99 + (C283 * 2.5), 0)</f>
        <v/>
      </c>
    </row>
    <row r="284">
      <c r="A284" s="13" t="inlineStr">
        <is>
          <t>Henderson Tours &amp; Transit Group</t>
        </is>
      </c>
      <c r="B284" s="14" t="inlineStr">
        <is>
          <t>Boutique Transit</t>
        </is>
      </c>
      <c r="C284" s="15" t="n">
        <v>38</v>
      </c>
      <c r="D284" s="13" t="inlineStr">
        <is>
          <t>Ford Transit 350</t>
        </is>
      </c>
      <c r="E284" s="13" t="inlineStr">
        <is>
          <t>Joshua Brown</t>
        </is>
      </c>
      <c r="F284" s="13" t="inlineStr">
        <is>
          <t>joshua@hendersontourstransitgroup.com</t>
        </is>
      </c>
      <c r="G284" s="13" t="inlineStr">
        <is>
          <t>702-555-5389</t>
        </is>
      </c>
      <c r="H284" s="14" t="inlineStr">
        <is>
          <t>DOT81186</t>
        </is>
      </c>
      <c r="I284" s="16" t="n">
        <v>0.295</v>
      </c>
      <c r="J284" s="13" t="inlineStr">
        <is>
          <t>Transit 114°F Electrical Module Overheat Wire Ground Fire Risk</t>
        </is>
      </c>
      <c r="K284" s="14" t="inlineStr">
        <is>
          <t>Warm Prospect</t>
        </is>
      </c>
      <c r="L284" s="17">
        <f>IF(C284&gt;0, 99 + (C284 * 2.5), 0)</f>
        <v/>
      </c>
    </row>
    <row r="285">
      <c r="A285" s="8" t="inlineStr">
        <is>
          <t>Summerlin Shuttles Group</t>
        </is>
      </c>
      <c r="B285" s="9" t="inlineStr">
        <is>
          <t>Boutique Transit</t>
        </is>
      </c>
      <c r="C285" s="10" t="n">
        <v>149</v>
      </c>
      <c r="D285" s="8" t="inlineStr">
        <is>
          <t>Mercedes-Benz Sprinter 3500</t>
        </is>
      </c>
      <c r="E285" s="8" t="inlineStr">
        <is>
          <t>Richard Wilson</t>
        </is>
      </c>
      <c r="F285" s="8" t="inlineStr">
        <is>
          <t>richard@summerlinshuttlesgroup.com</t>
        </is>
      </c>
      <c r="G285" s="8" t="inlineStr">
        <is>
          <t>702-555-2677</t>
        </is>
      </c>
      <c r="H285" s="9" t="inlineStr">
        <is>
          <t>DOT95678</t>
        </is>
      </c>
      <c r="I285" s="11" t="n">
        <v>0.273</v>
      </c>
      <c r="J285" s="8" t="inlineStr">
        <is>
          <t>Sprinter AC Comp Condensation Drain Backup Wiring Short</t>
        </is>
      </c>
      <c r="K285" s="9" t="inlineStr">
        <is>
          <t>Warm Prospect</t>
        </is>
      </c>
      <c r="L285" s="12">
        <f>IF(C285&gt;0, 99 + (C285 * 2.5), 0)</f>
        <v/>
      </c>
    </row>
    <row r="286">
      <c r="A286" s="13" t="inlineStr">
        <is>
          <t>First Choice HVAC Services LLC</t>
        </is>
      </c>
      <c r="B286" s="14" t="inlineStr">
        <is>
          <t>HVAC/Plumbing</t>
        </is>
      </c>
      <c r="C286" s="15" t="n">
        <v>122</v>
      </c>
      <c r="D286" s="13" t="inlineStr">
        <is>
          <t>Ford Transit 250</t>
        </is>
      </c>
      <c r="E286" s="13" t="inlineStr">
        <is>
          <t>Robert Davis</t>
        </is>
      </c>
      <c r="F286" s="13" t="inlineStr">
        <is>
          <t>robert@firstchoicehvacservicesllc.com</t>
        </is>
      </c>
      <c r="G286" s="13" t="inlineStr">
        <is>
          <t>702-555-4438</t>
        </is>
      </c>
      <c r="H286" s="14" t="inlineStr">
        <is>
          <t>DOT87060</t>
        </is>
      </c>
      <c r="I286" s="16" t="n">
        <v>0.254</v>
      </c>
      <c r="J286" s="13" t="inlineStr">
        <is>
          <t>Transit 114°F Electrical Module Overheat Wire Ground Fire Risk</t>
        </is>
      </c>
      <c r="K286" s="14" t="inlineStr">
        <is>
          <t>Audit Run</t>
        </is>
      </c>
      <c r="L286" s="17">
        <f>IF(C286&gt;0, 99 + (C286 * 2.5), 0)</f>
        <v/>
      </c>
    </row>
    <row r="287">
      <c r="A287" s="8" t="inlineStr">
        <is>
          <t>Titan Airport Express Group</t>
        </is>
      </c>
      <c r="B287" s="9" t="inlineStr">
        <is>
          <t>Boutique Transit</t>
        </is>
      </c>
      <c r="C287" s="10" t="n">
        <v>62</v>
      </c>
      <c r="D287" s="8" t="inlineStr">
        <is>
          <t>Mercedes-Benz Sprinter 2500</t>
        </is>
      </c>
      <c r="E287" s="8" t="inlineStr">
        <is>
          <t>Richard Johnson</t>
        </is>
      </c>
      <c r="F287" s="8" t="inlineStr">
        <is>
          <t>richard@titanairportexpressgroup.com</t>
        </is>
      </c>
      <c r="G287" s="8" t="inlineStr">
        <is>
          <t>702-555-6747</t>
        </is>
      </c>
      <c r="H287" s="9" t="inlineStr">
        <is>
          <t>DOT79767</t>
        </is>
      </c>
      <c r="I287" s="11" t="n">
        <v>0.127</v>
      </c>
      <c r="J287" s="8" t="inlineStr">
        <is>
          <t>Sprinter AC Comp Condensation Drain Backup Wiring Short</t>
        </is>
      </c>
      <c r="K287" s="9" t="inlineStr">
        <is>
          <t>Audit Run</t>
        </is>
      </c>
      <c r="L287" s="12">
        <f>IF(C287&gt;0, 99 + (C287 * 2.5), 0)</f>
        <v/>
      </c>
    </row>
    <row r="288">
      <c r="A288" s="13" t="inlineStr">
        <is>
          <t>Valley Mechanical Services LLC</t>
        </is>
      </c>
      <c r="B288" s="14" t="inlineStr">
        <is>
          <t>HVAC/Plumbing</t>
        </is>
      </c>
      <c r="C288" s="15" t="n">
        <v>78</v>
      </c>
      <c r="D288" s="13" t="inlineStr">
        <is>
          <t>Ford Transit 150</t>
        </is>
      </c>
      <c r="E288" s="13" t="inlineStr">
        <is>
          <t>Paul Brown</t>
        </is>
      </c>
      <c r="F288" s="13" t="inlineStr">
        <is>
          <t>paul@valleymechanicalservicesllc.com</t>
        </is>
      </c>
      <c r="G288" s="13" t="inlineStr">
        <is>
          <t>702-555-3221</t>
        </is>
      </c>
      <c r="H288" s="14" t="inlineStr">
        <is>
          <t>DOT63948</t>
        </is>
      </c>
      <c r="I288" s="16" t="n">
        <v>0.325</v>
      </c>
      <c r="J288" s="13" t="inlineStr">
        <is>
          <t>Transit 114°F Electrical Module Overheat Wire Ground Fire Risk</t>
        </is>
      </c>
      <c r="K288" s="14" t="inlineStr">
        <is>
          <t>Warm Prospect</t>
        </is>
      </c>
      <c r="L288" s="17">
        <f>IF(C288&gt;0, 99 + (C288 * 2.5), 0)</f>
        <v/>
      </c>
    </row>
    <row r="289">
      <c r="A289" s="8" t="inlineStr">
        <is>
          <t>Red Rock Charter Buses Inc</t>
        </is>
      </c>
      <c r="B289" s="9" t="inlineStr">
        <is>
          <t>Boutique Transit</t>
        </is>
      </c>
      <c r="C289" s="10" t="n">
        <v>47</v>
      </c>
      <c r="D289" s="8" t="inlineStr">
        <is>
          <t>Mercedes-Benz Sprinter 2500</t>
        </is>
      </c>
      <c r="E289" s="8" t="inlineStr">
        <is>
          <t>Daniel Davis</t>
        </is>
      </c>
      <c r="F289" s="8" t="inlineStr">
        <is>
          <t>daniel@redrockcharterbusesinc.com</t>
        </is>
      </c>
      <c r="G289" s="8" t="inlineStr">
        <is>
          <t>702-555-7434</t>
        </is>
      </c>
      <c r="H289" s="9" t="inlineStr">
        <is>
          <t>DOT74154</t>
        </is>
      </c>
      <c r="I289" s="11" t="n">
        <v>0.08400000000000001</v>
      </c>
      <c r="J289" s="8" t="inlineStr">
        <is>
          <t>Sprinter AC Comp Condensation Drain Backup Wiring Short</t>
        </is>
      </c>
      <c r="K289" s="9" t="inlineStr">
        <is>
          <t>Warm Prospect</t>
        </is>
      </c>
      <c r="L289" s="12">
        <f>IF(C289&gt;0, 99 + (C289 * 2.5), 0)</f>
        <v/>
      </c>
    </row>
    <row r="290">
      <c r="A290" s="13" t="inlineStr">
        <is>
          <t>Titan Tours &amp; Transit LLC</t>
        </is>
      </c>
      <c r="B290" s="14" t="inlineStr">
        <is>
          <t>Boutique Transit</t>
        </is>
      </c>
      <c r="C290" s="15" t="n">
        <v>33</v>
      </c>
      <c r="D290" s="13" t="inlineStr">
        <is>
          <t>Mercedes-Benz Sprinter 2500</t>
        </is>
      </c>
      <c r="E290" s="13" t="inlineStr">
        <is>
          <t>Anthony Taylor</t>
        </is>
      </c>
      <c r="F290" s="13" t="inlineStr">
        <is>
          <t>anthony@titantourstransitllc.com</t>
        </is>
      </c>
      <c r="G290" s="13" t="inlineStr">
        <is>
          <t>702-555-5558</t>
        </is>
      </c>
      <c r="H290" s="14" t="inlineStr">
        <is>
          <t>DOT58374</t>
        </is>
      </c>
      <c r="I290" s="16" t="n">
        <v>0.181</v>
      </c>
      <c r="J290" s="13" t="inlineStr">
        <is>
          <t>Sprinter AC Comp Condensation Drain Backup Wiring Short</t>
        </is>
      </c>
      <c r="K290" s="14" t="inlineStr">
        <is>
          <t>Warm Prospect</t>
        </is>
      </c>
      <c r="L290" s="17">
        <f>IF(C290&gt;0, 99 + (C290 * 2.5), 0)</f>
        <v/>
      </c>
    </row>
    <row r="291">
      <c r="A291" s="8" t="inlineStr">
        <is>
          <t>Las Vegas Electric &amp; Solar Group</t>
        </is>
      </c>
      <c r="B291" s="9" t="inlineStr">
        <is>
          <t>Electrical Services</t>
        </is>
      </c>
      <c r="C291" s="10" t="n">
        <v>127</v>
      </c>
      <c r="D291" s="8" t="inlineStr">
        <is>
          <t>Chevy Express 2500</t>
        </is>
      </c>
      <c r="E291" s="8" t="inlineStr">
        <is>
          <t>Matthew Williams</t>
        </is>
      </c>
      <c r="F291" s="8" t="inlineStr">
        <is>
          <t>matthew@lasvegaselectricsolargroup.com</t>
        </is>
      </c>
      <c r="G291" s="8" t="inlineStr">
        <is>
          <t>702-555-9756</t>
        </is>
      </c>
      <c r="H291" s="9" t="inlineStr">
        <is>
          <t>DOT62129</t>
        </is>
      </c>
      <c r="I291" s="11" t="n">
        <v>0.108</v>
      </c>
      <c r="J291" s="8" t="inlineStr">
        <is>
          <t>Express Engine Bay Hose Thermal Crack Hazard</t>
        </is>
      </c>
      <c r="K291" s="9" t="inlineStr">
        <is>
          <t>Warm Prospect</t>
        </is>
      </c>
      <c r="L291" s="12">
        <f>IF(C291&gt;0, 99 + (C291 * 2.5), 0)</f>
        <v/>
      </c>
    </row>
    <row r="292">
      <c r="A292" s="13" t="inlineStr">
        <is>
          <t>First Choice HVAC Services LLC</t>
        </is>
      </c>
      <c r="B292" s="14" t="inlineStr">
        <is>
          <t>HVAC/Plumbing</t>
        </is>
      </c>
      <c r="C292" s="15" t="n">
        <v>96</v>
      </c>
      <c r="D292" s="13" t="inlineStr">
        <is>
          <t>Ford Transit 150</t>
        </is>
      </c>
      <c r="E292" s="13" t="inlineStr">
        <is>
          <t>Andrew Jackson</t>
        </is>
      </c>
      <c r="F292" s="13" t="inlineStr">
        <is>
          <t>andrew@firstchoicehvacservicesllc.com</t>
        </is>
      </c>
      <c r="G292" s="13" t="inlineStr">
        <is>
          <t>702-555-3139</t>
        </is>
      </c>
      <c r="H292" s="14" t="inlineStr">
        <is>
          <t>DOT84205</t>
        </is>
      </c>
      <c r="I292" s="16" t="n">
        <v>0.304</v>
      </c>
      <c r="J292" s="13" t="inlineStr">
        <is>
          <t>Transit 114°F Electrical Module Overheat Wire Ground Fire Risk</t>
        </is>
      </c>
      <c r="K292" s="14" t="inlineStr">
        <is>
          <t>Warm Prospect</t>
        </is>
      </c>
      <c r="L292" s="17">
        <f>IF(C292&gt;0, 99 + (C292 * 2.5), 0)</f>
        <v/>
      </c>
    </row>
    <row r="293">
      <c r="A293" s="8" t="inlineStr">
        <is>
          <t>Henderson Shuttles Inc</t>
        </is>
      </c>
      <c r="B293" s="9" t="inlineStr">
        <is>
          <t>Boutique Transit</t>
        </is>
      </c>
      <c r="C293" s="10" t="n">
        <v>127</v>
      </c>
      <c r="D293" s="8" t="inlineStr">
        <is>
          <t>Mercedes-Benz Sprinter 2500</t>
        </is>
      </c>
      <c r="E293" s="8" t="inlineStr">
        <is>
          <t>John Brown</t>
        </is>
      </c>
      <c r="F293" s="8" t="inlineStr">
        <is>
          <t>john@hendersonshuttlesinc.com</t>
        </is>
      </c>
      <c r="G293" s="8" t="inlineStr">
        <is>
          <t>702-555-3588</t>
        </is>
      </c>
      <c r="H293" s="9" t="inlineStr">
        <is>
          <t>DOT67840</t>
        </is>
      </c>
      <c r="I293" s="11" t="n">
        <v>0.182</v>
      </c>
      <c r="J293" s="8" t="inlineStr">
        <is>
          <t>Sprinter AC Comp Condensation Drain Backup Wiring Short</t>
        </is>
      </c>
      <c r="K293" s="9" t="inlineStr">
        <is>
          <t>Warm Prospect</t>
        </is>
      </c>
      <c r="L293" s="12">
        <f>IF(C293&gt;0, 99 + (C293 * 2.5), 0)</f>
        <v/>
      </c>
    </row>
    <row r="294">
      <c r="A294" s="13" t="inlineStr">
        <is>
          <t>Clark County Plumbing &amp; Drain Group</t>
        </is>
      </c>
      <c r="B294" s="14" t="inlineStr">
        <is>
          <t>HVAC/Plumbing</t>
        </is>
      </c>
      <c r="C294" s="15" t="n">
        <v>50</v>
      </c>
      <c r="D294" s="13" t="inlineStr">
        <is>
          <t>Ford Transit 150</t>
        </is>
      </c>
      <c r="E294" s="13" t="inlineStr">
        <is>
          <t>Charles Williams</t>
        </is>
      </c>
      <c r="F294" s="13" t="inlineStr">
        <is>
          <t>charles@clarkcountyplumbingdraingroup.com</t>
        </is>
      </c>
      <c r="G294" s="13" t="inlineStr">
        <is>
          <t>702-555-6905</t>
        </is>
      </c>
      <c r="H294" s="14" t="inlineStr">
        <is>
          <t>DOT42819</t>
        </is>
      </c>
      <c r="I294" s="16" t="n">
        <v>0.066</v>
      </c>
      <c r="J294" s="13" t="inlineStr">
        <is>
          <t>Transit 114°F Electrical Module Overheat Wire Ground Fire Risk</t>
        </is>
      </c>
      <c r="K294" s="14" t="inlineStr">
        <is>
          <t>Warm Prospect</t>
        </is>
      </c>
      <c r="L294" s="17">
        <f>IF(C294&gt;0, 99 + (C294 * 2.5), 0)</f>
        <v/>
      </c>
    </row>
    <row r="295">
      <c r="A295" s="8" t="inlineStr">
        <is>
          <t>Titan Mechanical Services LLC</t>
        </is>
      </c>
      <c r="B295" s="9" t="inlineStr">
        <is>
          <t>HVAC/Plumbing</t>
        </is>
      </c>
      <c r="C295" s="10" t="n">
        <v>119</v>
      </c>
      <c r="D295" s="8" t="inlineStr">
        <is>
          <t>Ford Transit 350</t>
        </is>
      </c>
      <c r="E295" s="8" t="inlineStr">
        <is>
          <t>James Brown</t>
        </is>
      </c>
      <c r="F295" s="8" t="inlineStr">
        <is>
          <t>james@titanmechanicalservicesllc.com</t>
        </is>
      </c>
      <c r="G295" s="8" t="inlineStr">
        <is>
          <t>702-555-1017</t>
        </is>
      </c>
      <c r="H295" s="9" t="inlineStr">
        <is>
          <t>DOT37973</t>
        </is>
      </c>
      <c r="I295" s="11" t="n">
        <v>0.188</v>
      </c>
      <c r="J295" s="8" t="inlineStr">
        <is>
          <t>Transit 114°F Electrical Module Overheat Wire Ground Fire Risk</t>
        </is>
      </c>
      <c r="K295" s="9" t="inlineStr">
        <is>
          <t>Warm Prospect</t>
        </is>
      </c>
      <c r="L295" s="12">
        <f>IF(C295&gt;0, 99 + (C295 * 2.5), 0)</f>
        <v/>
      </c>
    </row>
    <row r="296">
      <c r="A296" s="13" t="inlineStr">
        <is>
          <t>Sunset Logistics Group</t>
        </is>
      </c>
      <c r="B296" s="14" t="inlineStr">
        <is>
          <t>Boutique Transit</t>
        </is>
      </c>
      <c r="C296" s="15" t="n">
        <v>12</v>
      </c>
      <c r="D296" s="13" t="inlineStr">
        <is>
          <t>Mercedes-Benz Sprinter 3500</t>
        </is>
      </c>
      <c r="E296" s="13" t="inlineStr">
        <is>
          <t>John Hernandez</t>
        </is>
      </c>
      <c r="F296" s="13" t="inlineStr">
        <is>
          <t>john@sunsetlogisticsgroup.com</t>
        </is>
      </c>
      <c r="G296" s="13" t="inlineStr">
        <is>
          <t>702-555-2975</t>
        </is>
      </c>
      <c r="H296" s="14" t="inlineStr">
        <is>
          <t>DOT65353</t>
        </is>
      </c>
      <c r="I296" s="16" t="n">
        <v>0.255</v>
      </c>
      <c r="J296" s="13" t="inlineStr">
        <is>
          <t>Sprinter AC Comp Condensation Drain Backup Wiring Short</t>
        </is>
      </c>
      <c r="K296" s="14" t="inlineStr">
        <is>
          <t>Warm Prospect</t>
        </is>
      </c>
      <c r="L296" s="17">
        <f>IF(C296&gt;0, 99 + (C296 * 2.5), 0)</f>
        <v/>
      </c>
    </row>
    <row r="297">
      <c r="A297" s="8" t="inlineStr">
        <is>
          <t>Sunset Comfort Heating Inc</t>
        </is>
      </c>
      <c r="B297" s="9" t="inlineStr">
        <is>
          <t>HVAC/Plumbing</t>
        </is>
      </c>
      <c r="C297" s="10" t="n">
        <v>36</v>
      </c>
      <c r="D297" s="8" t="inlineStr">
        <is>
          <t>Ford Transit 250</t>
        </is>
      </c>
      <c r="E297" s="8" t="inlineStr">
        <is>
          <t>Daniel Lopez</t>
        </is>
      </c>
      <c r="F297" s="8" t="inlineStr">
        <is>
          <t>daniel@sunsetcomfortheatinginc.com</t>
        </is>
      </c>
      <c r="G297" s="8" t="inlineStr">
        <is>
          <t>702-555-5902</t>
        </is>
      </c>
      <c r="H297" s="9" t="inlineStr">
        <is>
          <t>DOT27973</t>
        </is>
      </c>
      <c r="I297" s="11" t="n">
        <v>0.159</v>
      </c>
      <c r="J297" s="8" t="inlineStr">
        <is>
          <t>Transit 114°F Electrical Module Overheat Wire Ground Fire Risk</t>
        </is>
      </c>
      <c r="K297" s="9" t="inlineStr">
        <is>
          <t>Warm Prospect</t>
        </is>
      </c>
      <c r="L297" s="12">
        <f>IF(C297&gt;0, 99 + (C297 * 2.5), 0)</f>
        <v/>
      </c>
    </row>
    <row r="298">
      <c r="A298" s="13" t="inlineStr">
        <is>
          <t>Vegas Valley Airport Express Inc</t>
        </is>
      </c>
      <c r="B298" s="14" t="inlineStr">
        <is>
          <t>Boutique Transit</t>
        </is>
      </c>
      <c r="C298" s="15" t="n">
        <v>12</v>
      </c>
      <c r="D298" s="13" t="inlineStr">
        <is>
          <t>Ford Transit 350</t>
        </is>
      </c>
      <c r="E298" s="13" t="inlineStr">
        <is>
          <t>Kenneth Garcia</t>
        </is>
      </c>
      <c r="F298" s="13" t="inlineStr">
        <is>
          <t>kenneth@vegasvalleyairportexpressinc.com</t>
        </is>
      </c>
      <c r="G298" s="13" t="inlineStr">
        <is>
          <t>702-555-8210</t>
        </is>
      </c>
      <c r="H298" s="14" t="inlineStr">
        <is>
          <t>DOT56030</t>
        </is>
      </c>
      <c r="I298" s="16" t="n">
        <v>0.264</v>
      </c>
      <c r="J298" s="13" t="inlineStr">
        <is>
          <t>Transit 114°F Electrical Module Overheat Wire Ground Fire Risk</t>
        </is>
      </c>
      <c r="K298" s="14" t="inlineStr">
        <is>
          <t>Warm Prospect</t>
        </is>
      </c>
      <c r="L298" s="17">
        <f>IF(C298&gt;0, 99 + (C298 * 2.5), 0)</f>
        <v/>
      </c>
    </row>
    <row r="299">
      <c r="A299" s="8" t="inlineStr">
        <is>
          <t>Las Vegas Electric Pros LLC</t>
        </is>
      </c>
      <c r="B299" s="9" t="inlineStr">
        <is>
          <t>Electrical Services</t>
        </is>
      </c>
      <c r="C299" s="10" t="n">
        <v>32</v>
      </c>
      <c r="D299" s="8" t="inlineStr">
        <is>
          <t>Chevy Express 3500</t>
        </is>
      </c>
      <c r="E299" s="8" t="inlineStr">
        <is>
          <t>Robert Jones</t>
        </is>
      </c>
      <c r="F299" s="8" t="inlineStr">
        <is>
          <t>robert@lasvegaselectricprosllc.com</t>
        </is>
      </c>
      <c r="G299" s="8" t="inlineStr">
        <is>
          <t>702-555-3017</t>
        </is>
      </c>
      <c r="H299" s="9" t="inlineStr">
        <is>
          <t>DOT87276</t>
        </is>
      </c>
      <c r="I299" s="11" t="n">
        <v>0.266</v>
      </c>
      <c r="J299" s="8" t="inlineStr">
        <is>
          <t>Express Engine Bay Hose Thermal Crack Hazard</t>
        </is>
      </c>
      <c r="K299" s="9" t="inlineStr">
        <is>
          <t>Warm Prospect</t>
        </is>
      </c>
      <c r="L299" s="12">
        <f>IF(C299&gt;0, 99 + (C299 * 2.5), 0)</f>
        <v/>
      </c>
    </row>
    <row r="300">
      <c r="A300" s="13" t="inlineStr">
        <is>
          <t>Valley Power Systems Inc</t>
        </is>
      </c>
      <c r="B300" s="14" t="inlineStr">
        <is>
          <t>Electrical Services</t>
        </is>
      </c>
      <c r="C300" s="15" t="n">
        <v>31</v>
      </c>
      <c r="D300" s="13" t="inlineStr">
        <is>
          <t>Ram ProMaster 2500</t>
        </is>
      </c>
      <c r="E300" s="13" t="inlineStr">
        <is>
          <t>Thomas Moore</t>
        </is>
      </c>
      <c r="F300" s="13" t="inlineStr">
        <is>
          <t>thomas@valleypowersystemsinc.com</t>
        </is>
      </c>
      <c r="G300" s="13" t="inlineStr">
        <is>
          <t>702-555-5668</t>
        </is>
      </c>
      <c r="H300" s="14" t="inlineStr">
        <is>
          <t>DOT13515</t>
        </is>
      </c>
      <c r="I300" s="16" t="n">
        <v>0.303</v>
      </c>
      <c r="J300" s="13" t="inlineStr">
        <is>
          <t>ProMaster Brake Line Rubbing Collision Abrasion Leak</t>
        </is>
      </c>
      <c r="K300" s="14" t="inlineStr">
        <is>
          <t>Warm Prospect</t>
        </is>
      </c>
      <c r="L300" s="17">
        <f>IF(C300&gt;0, 99 + (C300 * 2.5), 0)</f>
        <v/>
      </c>
    </row>
    <row r="301">
      <c r="A301" s="8" t="inlineStr">
        <is>
          <t>High Rise Plumbing Experts Group</t>
        </is>
      </c>
      <c r="B301" s="9" t="inlineStr">
        <is>
          <t>HVAC/Plumbing</t>
        </is>
      </c>
      <c r="C301" s="10" t="n">
        <v>110</v>
      </c>
      <c r="D301" s="8" t="inlineStr">
        <is>
          <t>Ford Transit 350</t>
        </is>
      </c>
      <c r="E301" s="8" t="inlineStr">
        <is>
          <t>Christopher Johnson</t>
        </is>
      </c>
      <c r="F301" s="8" t="inlineStr">
        <is>
          <t>christopher@highriseplumbingexpertsgroup.com</t>
        </is>
      </c>
      <c r="G301" s="8" t="inlineStr">
        <is>
          <t>702-555-4921</t>
        </is>
      </c>
      <c r="H301" s="9" t="inlineStr">
        <is>
          <t>DOT74865</t>
        </is>
      </c>
      <c r="I301" s="11" t="n">
        <v>0.16</v>
      </c>
      <c r="J301" s="8" t="inlineStr">
        <is>
          <t>Transit 114°F Electrical Module Overheat Wire Ground Fire Risk</t>
        </is>
      </c>
      <c r="K301" s="9" t="inlineStr">
        <is>
          <t>Warm Prospect</t>
        </is>
      </c>
      <c r="L301" s="12">
        <f>IF(C301&gt;0, 99 + (C301 * 2.5), 0)</f>
        <v/>
      </c>
    </row>
    <row r="302">
      <c r="A302" s="13" t="inlineStr">
        <is>
          <t>Vegas Valley Lighting &amp; Power Inc</t>
        </is>
      </c>
      <c r="B302" s="14" t="inlineStr">
        <is>
          <t>Electrical Services</t>
        </is>
      </c>
      <c r="C302" s="15" t="n">
        <v>102</v>
      </c>
      <c r="D302" s="13" t="inlineStr">
        <is>
          <t>Chevy Express 2500</t>
        </is>
      </c>
      <c r="E302" s="13" t="inlineStr">
        <is>
          <t>Daniel Jones</t>
        </is>
      </c>
      <c r="F302" s="13" t="inlineStr">
        <is>
          <t>daniel@vegasvalleylightingpowerinc.com</t>
        </is>
      </c>
      <c r="G302" s="13" t="inlineStr">
        <is>
          <t>702-555-7337</t>
        </is>
      </c>
      <c r="H302" s="14" t="inlineStr">
        <is>
          <t>DOT84498</t>
        </is>
      </c>
      <c r="I302" s="16" t="n">
        <v>0.17</v>
      </c>
      <c r="J302" s="13" t="inlineStr">
        <is>
          <t>Express Engine Bay Hose Thermal Crack Hazard</t>
        </is>
      </c>
      <c r="K302" s="14" t="inlineStr">
        <is>
          <t>Audit Run</t>
        </is>
      </c>
      <c r="L302" s="17">
        <f>IF(C302&gt;0, 99 + (C302 * 2.5), 0)</f>
        <v/>
      </c>
    </row>
    <row r="303">
      <c r="A303" s="8" t="inlineStr">
        <is>
          <t>Red Rock Tours &amp; Transit Inc</t>
        </is>
      </c>
      <c r="B303" s="9" t="inlineStr">
        <is>
          <t>Boutique Transit</t>
        </is>
      </c>
      <c r="C303" s="10" t="n">
        <v>27</v>
      </c>
      <c r="D303" s="8" t="inlineStr">
        <is>
          <t>Mercedes-Benz Sprinter 2500</t>
        </is>
      </c>
      <c r="E303" s="8" t="inlineStr">
        <is>
          <t>John Rodriguez</t>
        </is>
      </c>
      <c r="F303" s="8" t="inlineStr">
        <is>
          <t>john@redrocktourstransitinc.com</t>
        </is>
      </c>
      <c r="G303" s="8" t="inlineStr">
        <is>
          <t>702-555-4534</t>
        </is>
      </c>
      <c r="H303" s="9" t="inlineStr">
        <is>
          <t>DOT15220</t>
        </is>
      </c>
      <c r="I303" s="11" t="n">
        <v>0.326</v>
      </c>
      <c r="J303" s="8" t="inlineStr">
        <is>
          <t>Sprinter AC Comp Condensation Drain Backup Wiring Short</t>
        </is>
      </c>
      <c r="K303" s="9" t="inlineStr">
        <is>
          <t>Warm Prospect</t>
        </is>
      </c>
      <c r="L303" s="12">
        <f>IF(C303&gt;0, 99 + (C303 * 2.5), 0)</f>
        <v/>
      </c>
    </row>
    <row r="304">
      <c r="A304" s="13" t="inlineStr">
        <is>
          <t>Mojave Charter Buses Group</t>
        </is>
      </c>
      <c r="B304" s="14" t="inlineStr">
        <is>
          <t>Boutique Transit</t>
        </is>
      </c>
      <c r="C304" s="15" t="n">
        <v>116</v>
      </c>
      <c r="D304" s="13" t="inlineStr">
        <is>
          <t>Ford Transit 350</t>
        </is>
      </c>
      <c r="E304" s="13" t="inlineStr">
        <is>
          <t>Mark Gonzalez</t>
        </is>
      </c>
      <c r="F304" s="13" t="inlineStr">
        <is>
          <t>mark@mojavecharterbusesgroup.com</t>
        </is>
      </c>
      <c r="G304" s="13" t="inlineStr">
        <is>
          <t>702-555-2350</t>
        </is>
      </c>
      <c r="H304" s="14" t="inlineStr">
        <is>
          <t>DOT93956</t>
        </is>
      </c>
      <c r="I304" s="16" t="n">
        <v>0.206</v>
      </c>
      <c r="J304" s="13" t="inlineStr">
        <is>
          <t>Transit 114°F Electrical Module Overheat Wire Ground Fire Risk</t>
        </is>
      </c>
      <c r="K304" s="14" t="inlineStr">
        <is>
          <t>Audit Run</t>
        </is>
      </c>
      <c r="L304" s="17">
        <f>IF(C304&gt;0, 99 + (C304 * 2.5), 0)</f>
        <v/>
      </c>
    </row>
    <row r="305">
      <c r="A305" s="8" t="inlineStr">
        <is>
          <t>Mojave Air Conditioning LLC</t>
        </is>
      </c>
      <c r="B305" s="9" t="inlineStr">
        <is>
          <t>HVAC/Plumbing</t>
        </is>
      </c>
      <c r="C305" s="10" t="n">
        <v>140</v>
      </c>
      <c r="D305" s="8" t="inlineStr">
        <is>
          <t>Ford Transit 250</t>
        </is>
      </c>
      <c r="E305" s="8" t="inlineStr">
        <is>
          <t>Richard Jones</t>
        </is>
      </c>
      <c r="F305" s="8" t="inlineStr">
        <is>
          <t>richard@mojaveairconditioningllc.com</t>
        </is>
      </c>
      <c r="G305" s="8" t="inlineStr">
        <is>
          <t>702-555-9788</t>
        </is>
      </c>
      <c r="H305" s="9" t="inlineStr">
        <is>
          <t>DOT52827</t>
        </is>
      </c>
      <c r="I305" s="11" t="n">
        <v>0.161</v>
      </c>
      <c r="J305" s="8" t="inlineStr">
        <is>
          <t>Transit 114°F Electrical Module Overheat Wire Ground Fire Risk</t>
        </is>
      </c>
      <c r="K305" s="9" t="inlineStr">
        <is>
          <t>Warm Prospect</t>
        </is>
      </c>
      <c r="L305" s="12">
        <f>IF(C305&gt;0, 99 + (C305 * 2.5), 0)</f>
        <v/>
      </c>
    </row>
    <row r="306">
      <c r="A306" s="13" t="inlineStr">
        <is>
          <t>Clark County Wiring Solutions Group</t>
        </is>
      </c>
      <c r="B306" s="14" t="inlineStr">
        <is>
          <t>Electrical Services</t>
        </is>
      </c>
      <c r="C306" s="15" t="n">
        <v>24</v>
      </c>
      <c r="D306" s="13" t="inlineStr">
        <is>
          <t>Chevy Express 3500</t>
        </is>
      </c>
      <c r="E306" s="13" t="inlineStr">
        <is>
          <t>Thomas Williams</t>
        </is>
      </c>
      <c r="F306" s="13" t="inlineStr">
        <is>
          <t>thomas@clarkcountywiringsolutionsgroup.com</t>
        </is>
      </c>
      <c r="G306" s="13" t="inlineStr">
        <is>
          <t>702-555-8118</t>
        </is>
      </c>
      <c r="H306" s="14" t="inlineStr">
        <is>
          <t>DOT25202</t>
        </is>
      </c>
      <c r="I306" s="16" t="n">
        <v>0.181</v>
      </c>
      <c r="J306" s="13" t="inlineStr">
        <is>
          <t>Express Engine Bay Hose Thermal Crack Hazard</t>
        </is>
      </c>
      <c r="K306" s="14" t="inlineStr">
        <is>
          <t>Audit Run</t>
        </is>
      </c>
      <c r="L306" s="17">
        <f>IF(C306&gt;0, 99 + (C306 * 2.5), 0)</f>
        <v/>
      </c>
    </row>
    <row r="307">
      <c r="A307" s="8" t="inlineStr">
        <is>
          <t>Mojave Mechanical Services Group</t>
        </is>
      </c>
      <c r="B307" s="9" t="inlineStr">
        <is>
          <t>HVAC/Plumbing</t>
        </is>
      </c>
      <c r="C307" s="10" t="n">
        <v>40</v>
      </c>
      <c r="D307" s="8" t="inlineStr">
        <is>
          <t>Ford Transit 350</t>
        </is>
      </c>
      <c r="E307" s="8" t="inlineStr">
        <is>
          <t>John Jones</t>
        </is>
      </c>
      <c r="F307" s="8" t="inlineStr">
        <is>
          <t>john@mojavemechanicalservicesgroup.com</t>
        </is>
      </c>
      <c r="G307" s="8" t="inlineStr">
        <is>
          <t>702-555-1185</t>
        </is>
      </c>
      <c r="H307" s="9" t="inlineStr">
        <is>
          <t>DOT31473</t>
        </is>
      </c>
      <c r="I307" s="11" t="n">
        <v>0.194</v>
      </c>
      <c r="J307" s="8" t="inlineStr">
        <is>
          <t>Transit 114°F Electrical Module Overheat Wire Ground Fire Risk</t>
        </is>
      </c>
      <c r="K307" s="9" t="inlineStr">
        <is>
          <t>Warm Prospect</t>
        </is>
      </c>
      <c r="L307" s="12">
        <f>IF(C307&gt;0, 99 + (C307 * 2.5), 0)</f>
        <v/>
      </c>
    </row>
    <row r="308">
      <c r="A308" s="13" t="inlineStr">
        <is>
          <t>High Rise Charter Buses LLC</t>
        </is>
      </c>
      <c r="B308" s="14" t="inlineStr">
        <is>
          <t>Boutique Transit</t>
        </is>
      </c>
      <c r="C308" s="15" t="n">
        <v>105</v>
      </c>
      <c r="D308" s="13" t="inlineStr">
        <is>
          <t>Mercedes-Benz Sprinter 2500</t>
        </is>
      </c>
      <c r="E308" s="13" t="inlineStr">
        <is>
          <t>David Rodriguez</t>
        </is>
      </c>
      <c r="F308" s="13" t="inlineStr">
        <is>
          <t>david@highrisecharterbusesllc.com</t>
        </is>
      </c>
      <c r="G308" s="13" t="inlineStr">
        <is>
          <t>702-555-2934</t>
        </is>
      </c>
      <c r="H308" s="14" t="inlineStr">
        <is>
          <t>DOT13847</t>
        </is>
      </c>
      <c r="I308" s="16" t="n">
        <v>0.144</v>
      </c>
      <c r="J308" s="13" t="inlineStr">
        <is>
          <t>Sprinter AC Comp Condensation Drain Backup Wiring Short</t>
        </is>
      </c>
      <c r="K308" s="14" t="inlineStr">
        <is>
          <t>Warm Prospect</t>
        </is>
      </c>
      <c r="L308" s="17">
        <f>IF(C308&gt;0, 99 + (C308 * 2.5), 0)</f>
        <v/>
      </c>
    </row>
    <row r="309">
      <c r="A309" s="8" t="inlineStr">
        <is>
          <t>High Rise Electric &amp; Solar LLC</t>
        </is>
      </c>
      <c r="B309" s="9" t="inlineStr">
        <is>
          <t>Electrical Services</t>
        </is>
      </c>
      <c r="C309" s="10" t="n">
        <v>137</v>
      </c>
      <c r="D309" s="8" t="inlineStr">
        <is>
          <t>Chevy Express 2500</t>
        </is>
      </c>
      <c r="E309" s="8" t="inlineStr">
        <is>
          <t>Donald Taylor</t>
        </is>
      </c>
      <c r="F309" s="8" t="inlineStr">
        <is>
          <t>donald@highriseelectricsolarllc.com</t>
        </is>
      </c>
      <c r="G309" s="8" t="inlineStr">
        <is>
          <t>702-555-6900</t>
        </is>
      </c>
      <c r="H309" s="9" t="inlineStr">
        <is>
          <t>DOT17266</t>
        </is>
      </c>
      <c r="I309" s="11" t="n">
        <v>0.195</v>
      </c>
      <c r="J309" s="8" t="inlineStr">
        <is>
          <t>Express Engine Bay Hose Thermal Crack Hazard</t>
        </is>
      </c>
      <c r="K309" s="9" t="inlineStr">
        <is>
          <t>Audit Run</t>
        </is>
      </c>
      <c r="L309" s="12">
        <f>IF(C309&gt;0, 99 + (C309 * 2.5), 0)</f>
        <v/>
      </c>
    </row>
    <row r="310">
      <c r="A310" s="13" t="inlineStr">
        <is>
          <t>Valley Plumbing &amp; Drain LLC</t>
        </is>
      </c>
      <c r="B310" s="14" t="inlineStr">
        <is>
          <t>HVAC/Plumbing</t>
        </is>
      </c>
      <c r="C310" s="15" t="n">
        <v>39</v>
      </c>
      <c r="D310" s="13" t="inlineStr">
        <is>
          <t>Ford Transit 250</t>
        </is>
      </c>
      <c r="E310" s="13" t="inlineStr">
        <is>
          <t>Thomas Taylor</t>
        </is>
      </c>
      <c r="F310" s="13" t="inlineStr">
        <is>
          <t>thomas@valleyplumbingdrainllc.com</t>
        </is>
      </c>
      <c r="G310" s="13" t="inlineStr">
        <is>
          <t>702-555-1042</t>
        </is>
      </c>
      <c r="H310" s="14" t="inlineStr">
        <is>
          <t>DOT15772</t>
        </is>
      </c>
      <c r="I310" s="16" t="n">
        <v>0.306</v>
      </c>
      <c r="J310" s="13" t="inlineStr">
        <is>
          <t>Transit 114°F Electrical Module Overheat Wire Ground Fire Risk</t>
        </is>
      </c>
      <c r="K310" s="14" t="inlineStr">
        <is>
          <t>Warm Prospect</t>
        </is>
      </c>
      <c r="L310" s="17">
        <f>IF(C310&gt;0, 99 + (C310 * 2.5), 0)</f>
        <v/>
      </c>
    </row>
    <row r="311">
      <c r="A311" s="8" t="inlineStr">
        <is>
          <t>Silver State Comfort Heating LLC</t>
        </is>
      </c>
      <c r="B311" s="9" t="inlineStr">
        <is>
          <t>HVAC/Plumbing</t>
        </is>
      </c>
      <c r="C311" s="10" t="n">
        <v>48</v>
      </c>
      <c r="D311" s="8" t="inlineStr">
        <is>
          <t>GMC Savana 2500</t>
        </is>
      </c>
      <c r="E311" s="8" t="inlineStr">
        <is>
          <t>William Johnson</t>
        </is>
      </c>
      <c r="F311" s="8" t="inlineStr">
        <is>
          <t>william@silverstatecomfortheatingllc.com</t>
        </is>
      </c>
      <c r="G311" s="8" t="inlineStr">
        <is>
          <t>702-555-7870</t>
        </is>
      </c>
      <c r="H311" s="9" t="inlineStr">
        <is>
          <t>DOT39427</t>
        </is>
      </c>
      <c r="I311" s="11" t="n">
        <v>0.14</v>
      </c>
      <c r="J311" s="8" t="inlineStr">
        <is>
          <t>Savana Desert Fuel Line Seal Degradation Failure</t>
        </is>
      </c>
      <c r="K311" s="9" t="inlineStr">
        <is>
          <t>Warm Prospect</t>
        </is>
      </c>
      <c r="L311" s="12">
        <f>IF(C311&gt;0, 99 + (C311 * 2.5), 0)</f>
        <v/>
      </c>
    </row>
    <row r="312">
      <c r="A312" s="13" t="inlineStr">
        <is>
          <t>Valley Chauffeurs Inc</t>
        </is>
      </c>
      <c r="B312" s="14" t="inlineStr">
        <is>
          <t>Boutique Transit</t>
        </is>
      </c>
      <c r="C312" s="15" t="n">
        <v>105</v>
      </c>
      <c r="D312" s="13" t="inlineStr">
        <is>
          <t>Ford Transit 350</t>
        </is>
      </c>
      <c r="E312" s="13" t="inlineStr">
        <is>
          <t>Robert Taylor</t>
        </is>
      </c>
      <c r="F312" s="13" t="inlineStr">
        <is>
          <t>robert@valleychauffeursinc.com</t>
        </is>
      </c>
      <c r="G312" s="13" t="inlineStr">
        <is>
          <t>702-555-1862</t>
        </is>
      </c>
      <c r="H312" s="14" t="inlineStr">
        <is>
          <t>DOT33507</t>
        </is>
      </c>
      <c r="I312" s="16" t="n">
        <v>0.109</v>
      </c>
      <c r="J312" s="13" t="inlineStr">
        <is>
          <t>Transit 114°F Electrical Module Overheat Wire Ground Fire Risk</t>
        </is>
      </c>
      <c r="K312" s="14" t="inlineStr">
        <is>
          <t>Audit Run</t>
        </is>
      </c>
      <c r="L312" s="17">
        <f>IF(C312&gt;0, 99 + (C312 * 2.5), 0)</f>
        <v/>
      </c>
    </row>
    <row r="313">
      <c r="A313" s="8" t="inlineStr">
        <is>
          <t>Titan Air Conditioning LLC</t>
        </is>
      </c>
      <c r="B313" s="9" t="inlineStr">
        <is>
          <t>HVAC/Plumbing</t>
        </is>
      </c>
      <c r="C313" s="10" t="n">
        <v>89</v>
      </c>
      <c r="D313" s="8" t="inlineStr">
        <is>
          <t>Ford Transit 150</t>
        </is>
      </c>
      <c r="E313" s="8" t="inlineStr">
        <is>
          <t>Daniel Williams</t>
        </is>
      </c>
      <c r="F313" s="8" t="inlineStr">
        <is>
          <t>daniel@titanairconditioningllc.com</t>
        </is>
      </c>
      <c r="G313" s="8" t="inlineStr">
        <is>
          <t>702-555-8483</t>
        </is>
      </c>
      <c r="H313" s="9" t="inlineStr">
        <is>
          <t>DOT11044</t>
        </is>
      </c>
      <c r="I313" s="11" t="n">
        <v>0.154</v>
      </c>
      <c r="J313" s="8" t="inlineStr">
        <is>
          <t>Transit 114°F Electrical Module Overheat Wire Ground Fire Risk</t>
        </is>
      </c>
      <c r="K313" s="9" t="inlineStr">
        <is>
          <t>Warm Prospect</t>
        </is>
      </c>
      <c r="L313" s="12">
        <f>IF(C313&gt;0, 99 + (C313 * 2.5), 0)</f>
        <v/>
      </c>
    </row>
    <row r="314">
      <c r="A314" s="13" t="inlineStr">
        <is>
          <t>Henderson Chauffeurs Group</t>
        </is>
      </c>
      <c r="B314" s="14" t="inlineStr">
        <is>
          <t>Boutique Transit</t>
        </is>
      </c>
      <c r="C314" s="15" t="n">
        <v>72</v>
      </c>
      <c r="D314" s="13" t="inlineStr">
        <is>
          <t>Ford Transit 350</t>
        </is>
      </c>
      <c r="E314" s="13" t="inlineStr">
        <is>
          <t>Donald Lopez</t>
        </is>
      </c>
      <c r="F314" s="13" t="inlineStr">
        <is>
          <t>donald@hendersonchauffeursgroup.com</t>
        </is>
      </c>
      <c r="G314" s="13" t="inlineStr">
        <is>
          <t>702-555-9083</t>
        </is>
      </c>
      <c r="H314" s="14" t="inlineStr">
        <is>
          <t>DOT35614</t>
        </is>
      </c>
      <c r="I314" s="16" t="n">
        <v>0.267</v>
      </c>
      <c r="J314" s="13" t="inlineStr">
        <is>
          <t>Transit 114°F Electrical Module Overheat Wire Ground Fire Risk</t>
        </is>
      </c>
      <c r="K314" s="14" t="inlineStr">
        <is>
          <t>Audit Run</t>
        </is>
      </c>
      <c r="L314" s="17">
        <f>IF(C314&gt;0, 99 + (C314 * 2.5), 0)</f>
        <v/>
      </c>
    </row>
    <row r="315">
      <c r="A315" s="8" t="inlineStr">
        <is>
          <t>Red Rock Air Conditioning LLC</t>
        </is>
      </c>
      <c r="B315" s="9" t="inlineStr">
        <is>
          <t>HVAC/Plumbing</t>
        </is>
      </c>
      <c r="C315" s="10" t="n">
        <v>69</v>
      </c>
      <c r="D315" s="8" t="inlineStr">
        <is>
          <t>Ford Transit 250</t>
        </is>
      </c>
      <c r="E315" s="8" t="inlineStr">
        <is>
          <t>Andrew Lopez</t>
        </is>
      </c>
      <c r="F315" s="8" t="inlineStr">
        <is>
          <t>andrew@redrockairconditioningllc.com</t>
        </is>
      </c>
      <c r="G315" s="8" t="inlineStr">
        <is>
          <t>702-555-1157</t>
        </is>
      </c>
      <c r="H315" s="9" t="inlineStr">
        <is>
          <t>DOT53911</t>
        </is>
      </c>
      <c r="I315" s="11" t="n">
        <v>0.04</v>
      </c>
      <c r="J315" s="8" t="inlineStr">
        <is>
          <t>Transit 114°F Electrical Module Overheat Wire Ground Fire Risk</t>
        </is>
      </c>
      <c r="K315" s="9" t="inlineStr">
        <is>
          <t>Warm Prospect</t>
        </is>
      </c>
      <c r="L315" s="12">
        <f>IF(C315&gt;0, 99 + (C315 * 2.5), 0)</f>
        <v/>
      </c>
    </row>
    <row r="316">
      <c r="A316" s="13" t="inlineStr">
        <is>
          <t>Clark County Chauffeurs Inc</t>
        </is>
      </c>
      <c r="B316" s="14" t="inlineStr">
        <is>
          <t>Boutique Transit</t>
        </is>
      </c>
      <c r="C316" s="15" t="n">
        <v>145</v>
      </c>
      <c r="D316" s="13" t="inlineStr">
        <is>
          <t>Mercedes-Benz Sprinter 2500</t>
        </is>
      </c>
      <c r="E316" s="13" t="inlineStr">
        <is>
          <t>Thomas Wilson</t>
        </is>
      </c>
      <c r="F316" s="13" t="inlineStr">
        <is>
          <t>thomas@clarkcountychauffeursinc.com</t>
        </is>
      </c>
      <c r="G316" s="13" t="inlineStr">
        <is>
          <t>702-555-9061</t>
        </is>
      </c>
      <c r="H316" s="14" t="inlineStr">
        <is>
          <t>DOT17850</t>
        </is>
      </c>
      <c r="I316" s="16" t="n">
        <v>0.341</v>
      </c>
      <c r="J316" s="13" t="inlineStr">
        <is>
          <t>Sprinter AC Comp Condensation Drain Backup Wiring Short</t>
        </is>
      </c>
      <c r="K316" s="14" t="inlineStr">
        <is>
          <t>Warm Prospect</t>
        </is>
      </c>
      <c r="L316" s="17">
        <f>IF(C316&gt;0, 99 + (C316 * 2.5), 0)</f>
        <v/>
      </c>
    </row>
    <row r="317">
      <c r="A317" s="8" t="inlineStr">
        <is>
          <t>Mojave Shuttles Inc</t>
        </is>
      </c>
      <c r="B317" s="9" t="inlineStr">
        <is>
          <t>Boutique Transit</t>
        </is>
      </c>
      <c r="C317" s="10" t="n">
        <v>143</v>
      </c>
      <c r="D317" s="8" t="inlineStr">
        <is>
          <t>Mercedes-Benz Sprinter 2500</t>
        </is>
      </c>
      <c r="E317" s="8" t="inlineStr">
        <is>
          <t>Mark Lopez</t>
        </is>
      </c>
      <c r="F317" s="8" t="inlineStr">
        <is>
          <t>mark@mojaveshuttlesinc.com</t>
        </is>
      </c>
      <c r="G317" s="8" t="inlineStr">
        <is>
          <t>702-555-8511</t>
        </is>
      </c>
      <c r="H317" s="9" t="inlineStr">
        <is>
          <t>DOT21128</t>
        </is>
      </c>
      <c r="I317" s="11" t="n">
        <v>0.22</v>
      </c>
      <c r="J317" s="8" t="inlineStr">
        <is>
          <t>Sprinter AC Comp Condensation Drain Backup Wiring Short</t>
        </is>
      </c>
      <c r="K317" s="9" t="inlineStr">
        <is>
          <t>Audit Run</t>
        </is>
      </c>
      <c r="L317" s="12">
        <f>IF(C317&gt;0, 99 + (C317 * 2.5), 0)</f>
        <v/>
      </c>
    </row>
    <row r="318">
      <c r="A318" s="13" t="inlineStr">
        <is>
          <t>Vegas Valley Comfort Heating Inc</t>
        </is>
      </c>
      <c r="B318" s="14" t="inlineStr">
        <is>
          <t>HVAC/Plumbing</t>
        </is>
      </c>
      <c r="C318" s="15" t="n">
        <v>25</v>
      </c>
      <c r="D318" s="13" t="inlineStr">
        <is>
          <t>Chevy Express 2500</t>
        </is>
      </c>
      <c r="E318" s="13" t="inlineStr">
        <is>
          <t>Mark Jones</t>
        </is>
      </c>
      <c r="F318" s="13" t="inlineStr">
        <is>
          <t>mark@vegasvalleycomfortheatinginc.com</t>
        </is>
      </c>
      <c r="G318" s="13" t="inlineStr">
        <is>
          <t>702-555-4879</t>
        </is>
      </c>
      <c r="H318" s="14" t="inlineStr">
        <is>
          <t>DOT48230</t>
        </is>
      </c>
      <c r="I318" s="16" t="n">
        <v>0.121</v>
      </c>
      <c r="J318" s="13" t="inlineStr">
        <is>
          <t>Express Engine Bay Hose Thermal Crack Hazard</t>
        </is>
      </c>
      <c r="K318" s="14" t="inlineStr">
        <is>
          <t>Warm Prospect</t>
        </is>
      </c>
      <c r="L318" s="17">
        <f>IF(C318&gt;0, 99 + (C318 * 2.5), 0)</f>
        <v/>
      </c>
    </row>
    <row r="319">
      <c r="A319" s="8" t="inlineStr">
        <is>
          <t>Clark County Electric Pros LLC</t>
        </is>
      </c>
      <c r="B319" s="9" t="inlineStr">
        <is>
          <t>Electrical Services</t>
        </is>
      </c>
      <c r="C319" s="10" t="n">
        <v>125</v>
      </c>
      <c r="D319" s="8" t="inlineStr">
        <is>
          <t>Ram ProMaster 2500</t>
        </is>
      </c>
      <c r="E319" s="8" t="inlineStr">
        <is>
          <t>Charles Davis</t>
        </is>
      </c>
      <c r="F319" s="8" t="inlineStr">
        <is>
          <t>charles@clarkcountyelectricprosllc.com</t>
        </is>
      </c>
      <c r="G319" s="8" t="inlineStr">
        <is>
          <t>702-555-2223</t>
        </is>
      </c>
      <c r="H319" s="9" t="inlineStr">
        <is>
          <t>DOT36569</t>
        </is>
      </c>
      <c r="I319" s="11" t="n">
        <v>0.082</v>
      </c>
      <c r="J319" s="8" t="inlineStr">
        <is>
          <t>ProMaster Brake Line Rubbing Collision Abrasion Leak</t>
        </is>
      </c>
      <c r="K319" s="9" t="inlineStr">
        <is>
          <t>Audit Run</t>
        </is>
      </c>
      <c r="L319" s="12">
        <f>IF(C319&gt;0, 99 + (C319 * 2.5), 0)</f>
        <v/>
      </c>
    </row>
    <row r="320">
      <c r="A320" s="13" t="inlineStr">
        <is>
          <t>Red Rock Air Conditioning Inc</t>
        </is>
      </c>
      <c r="B320" s="14" t="inlineStr">
        <is>
          <t>HVAC/Plumbing</t>
        </is>
      </c>
      <c r="C320" s="15" t="n">
        <v>129</v>
      </c>
      <c r="D320" s="13" t="inlineStr">
        <is>
          <t>GMC Savana 2500</t>
        </is>
      </c>
      <c r="E320" s="13" t="inlineStr">
        <is>
          <t>Daniel Wilson</t>
        </is>
      </c>
      <c r="F320" s="13" t="inlineStr">
        <is>
          <t>daniel@redrockairconditioninginc.com</t>
        </is>
      </c>
      <c r="G320" s="13" t="inlineStr">
        <is>
          <t>702-555-2978</t>
        </is>
      </c>
      <c r="H320" s="14" t="inlineStr">
        <is>
          <t>DOT80244</t>
        </is>
      </c>
      <c r="I320" s="16" t="n">
        <v>0.151</v>
      </c>
      <c r="J320" s="13" t="inlineStr">
        <is>
          <t>Savana Desert Fuel Line Seal Degradation Failure</t>
        </is>
      </c>
      <c r="K320" s="14" t="inlineStr">
        <is>
          <t>Warm Prospect</t>
        </is>
      </c>
      <c r="L320" s="17">
        <f>IF(C320&gt;0, 99 + (C320 * 2.5), 0)</f>
        <v/>
      </c>
    </row>
    <row r="321">
      <c r="A321" s="8" t="inlineStr">
        <is>
          <t>Mojave Wiring Solutions LLC</t>
        </is>
      </c>
      <c r="B321" s="9" t="inlineStr">
        <is>
          <t>Electrical Services</t>
        </is>
      </c>
      <c r="C321" s="10" t="n">
        <v>33</v>
      </c>
      <c r="D321" s="8" t="inlineStr">
        <is>
          <t>Chevy Express 2500</t>
        </is>
      </c>
      <c r="E321" s="8" t="inlineStr">
        <is>
          <t>William Martinez</t>
        </is>
      </c>
      <c r="F321" s="8" t="inlineStr">
        <is>
          <t>william@mojavewiringsolutionsllc.com</t>
        </is>
      </c>
      <c r="G321" s="8" t="inlineStr">
        <is>
          <t>702-555-1660</t>
        </is>
      </c>
      <c r="H321" s="9" t="inlineStr">
        <is>
          <t>DOT38183</t>
        </is>
      </c>
      <c r="I321" s="11" t="n">
        <v>0.299</v>
      </c>
      <c r="J321" s="8" t="inlineStr">
        <is>
          <t>Express Engine Bay Hose Thermal Crack Hazard</t>
        </is>
      </c>
      <c r="K321" s="9" t="inlineStr">
        <is>
          <t>Warm Prospect</t>
        </is>
      </c>
      <c r="L321" s="12">
        <f>IF(C321&gt;0, 99 + (C321 * 2.5), 0)</f>
        <v/>
      </c>
    </row>
    <row r="322">
      <c r="A322" s="13" t="inlineStr">
        <is>
          <t>Apex Mechanical Services Inc</t>
        </is>
      </c>
      <c r="B322" s="14" t="inlineStr">
        <is>
          <t>HVAC/Plumbing</t>
        </is>
      </c>
      <c r="C322" s="15" t="n">
        <v>111</v>
      </c>
      <c r="D322" s="13" t="inlineStr">
        <is>
          <t>Ford Transit 150</t>
        </is>
      </c>
      <c r="E322" s="13" t="inlineStr">
        <is>
          <t>Paul Johnson</t>
        </is>
      </c>
      <c r="F322" s="13" t="inlineStr">
        <is>
          <t>paul@apexmechanicalservicesinc.com</t>
        </is>
      </c>
      <c r="G322" s="13" t="inlineStr">
        <is>
          <t>702-555-5896</t>
        </is>
      </c>
      <c r="H322" s="14" t="inlineStr">
        <is>
          <t>DOT44100</t>
        </is>
      </c>
      <c r="I322" s="16" t="n">
        <v>0.294</v>
      </c>
      <c r="J322" s="13" t="inlineStr">
        <is>
          <t>Transit 114°F Electrical Module Overheat Wire Ground Fire Risk</t>
        </is>
      </c>
      <c r="K322" s="14" t="inlineStr">
        <is>
          <t>Warm Prospect</t>
        </is>
      </c>
      <c r="L322" s="17">
        <f>IF(C322&gt;0, 99 + (C322 * 2.5), 0)</f>
        <v/>
      </c>
    </row>
    <row r="323">
      <c r="A323" s="8" t="inlineStr">
        <is>
          <t>Titan Comfort Heating Group</t>
        </is>
      </c>
      <c r="B323" s="9" t="inlineStr">
        <is>
          <t>HVAC/Plumbing</t>
        </is>
      </c>
      <c r="C323" s="10" t="n">
        <v>73</v>
      </c>
      <c r="D323" s="8" t="inlineStr">
        <is>
          <t>Chevy Express 2500</t>
        </is>
      </c>
      <c r="E323" s="8" t="inlineStr">
        <is>
          <t>Robert Anderson</t>
        </is>
      </c>
      <c r="F323" s="8" t="inlineStr">
        <is>
          <t>robert@titancomfortheatinggroup.com</t>
        </is>
      </c>
      <c r="G323" s="8" t="inlineStr">
        <is>
          <t>702-555-2669</t>
        </is>
      </c>
      <c r="H323" s="9" t="inlineStr">
        <is>
          <t>DOT28322</t>
        </is>
      </c>
      <c r="I323" s="11" t="n">
        <v>0.078</v>
      </c>
      <c r="J323" s="8" t="inlineStr">
        <is>
          <t>Express Engine Bay Hose Thermal Crack Hazard</t>
        </is>
      </c>
      <c r="K323" s="9" t="inlineStr">
        <is>
          <t>Warm Prospect</t>
        </is>
      </c>
      <c r="L323" s="12">
        <f>IF(C323&gt;0, 99 + (C323 * 2.5), 0)</f>
        <v/>
      </c>
    </row>
    <row r="324">
      <c r="A324" s="13" t="inlineStr">
        <is>
          <t>Red Rock Plumbing &amp; Drain LLC</t>
        </is>
      </c>
      <c r="B324" s="14" t="inlineStr">
        <is>
          <t>HVAC/Plumbing</t>
        </is>
      </c>
      <c r="C324" s="15" t="n">
        <v>31</v>
      </c>
      <c r="D324" s="13" t="inlineStr">
        <is>
          <t>Ford Transit 150</t>
        </is>
      </c>
      <c r="E324" s="13" t="inlineStr">
        <is>
          <t>Joshua Jackson</t>
        </is>
      </c>
      <c r="F324" s="13" t="inlineStr">
        <is>
          <t>joshua@redrockplumbingdrainllc.com</t>
        </is>
      </c>
      <c r="G324" s="13" t="inlineStr">
        <is>
          <t>702-555-5240</t>
        </is>
      </c>
      <c r="H324" s="14" t="inlineStr">
        <is>
          <t>DOT19828</t>
        </is>
      </c>
      <c r="I324" s="16" t="n">
        <v>0.047</v>
      </c>
      <c r="J324" s="13" t="inlineStr">
        <is>
          <t>Transit 114°F Electrical Module Overheat Wire Ground Fire Risk</t>
        </is>
      </c>
      <c r="K324" s="14" t="inlineStr">
        <is>
          <t>Warm Prospect</t>
        </is>
      </c>
      <c r="L324" s="17">
        <f>IF(C324&gt;0, 99 + (C324 * 2.5), 0)</f>
        <v/>
      </c>
    </row>
    <row r="325">
      <c r="A325" s="8" t="inlineStr">
        <is>
          <t>Spring Valley Mechanical Services LLC</t>
        </is>
      </c>
      <c r="B325" s="9" t="inlineStr">
        <is>
          <t>HVAC/Plumbing</t>
        </is>
      </c>
      <c r="C325" s="10" t="n">
        <v>33</v>
      </c>
      <c r="D325" s="8" t="inlineStr">
        <is>
          <t>Ford Transit 350</t>
        </is>
      </c>
      <c r="E325" s="8" t="inlineStr">
        <is>
          <t>Daniel Brown</t>
        </is>
      </c>
      <c r="F325" s="8" t="inlineStr">
        <is>
          <t>daniel@springvalleymechanicalservicesllc.com</t>
        </is>
      </c>
      <c r="G325" s="8" t="inlineStr">
        <is>
          <t>702-555-1699</t>
        </is>
      </c>
      <c r="H325" s="9" t="inlineStr">
        <is>
          <t>DOT70423</t>
        </is>
      </c>
      <c r="I325" s="11" t="n">
        <v>0.056</v>
      </c>
      <c r="J325" s="8" t="inlineStr">
        <is>
          <t>Transit 114°F Electrical Module Overheat Wire Ground Fire Risk</t>
        </is>
      </c>
      <c r="K325" s="9" t="inlineStr">
        <is>
          <t>Audit Run</t>
        </is>
      </c>
      <c r="L325" s="12">
        <f>IF(C325&gt;0, 99 + (C325 * 2.5), 0)</f>
        <v/>
      </c>
    </row>
    <row r="326">
      <c r="A326" s="13" t="inlineStr">
        <is>
          <t>Summerlin Electric Pros LLC</t>
        </is>
      </c>
      <c r="B326" s="14" t="inlineStr">
        <is>
          <t>Electrical Services</t>
        </is>
      </c>
      <c r="C326" s="15" t="n">
        <v>17</v>
      </c>
      <c r="D326" s="13" t="inlineStr">
        <is>
          <t>Ram ProMaster 1500</t>
        </is>
      </c>
      <c r="E326" s="13" t="inlineStr">
        <is>
          <t>Anthony Wilson</t>
        </is>
      </c>
      <c r="F326" s="13" t="inlineStr">
        <is>
          <t>anthony@summerlinelectricprosllc.com</t>
        </is>
      </c>
      <c r="G326" s="13" t="inlineStr">
        <is>
          <t>702-555-3831</t>
        </is>
      </c>
      <c r="H326" s="14" t="inlineStr">
        <is>
          <t>DOT56392</t>
        </is>
      </c>
      <c r="I326" s="16" t="n">
        <v>0.107</v>
      </c>
      <c r="J326" s="13" t="inlineStr">
        <is>
          <t>ProMaster Brake Line Rubbing Collision Abrasion Leak</t>
        </is>
      </c>
      <c r="K326" s="14" t="inlineStr">
        <is>
          <t>Warm Prospect</t>
        </is>
      </c>
      <c r="L326" s="17">
        <f>IF(C326&gt;0, 99 + (C326 * 2.5), 0)</f>
        <v/>
      </c>
    </row>
    <row r="327">
      <c r="A327" s="8" t="inlineStr">
        <is>
          <t>Mojave Wiring Solutions Inc</t>
        </is>
      </c>
      <c r="B327" s="9" t="inlineStr">
        <is>
          <t>Electrical Services</t>
        </is>
      </c>
      <c r="C327" s="10" t="n">
        <v>72</v>
      </c>
      <c r="D327" s="8" t="inlineStr">
        <is>
          <t>Chevy Express 2500</t>
        </is>
      </c>
      <c r="E327" s="8" t="inlineStr">
        <is>
          <t>Christopher Thomas</t>
        </is>
      </c>
      <c r="F327" s="8" t="inlineStr">
        <is>
          <t>christopher@mojavewiringsolutionsinc.com</t>
        </is>
      </c>
      <c r="G327" s="8" t="inlineStr">
        <is>
          <t>702-555-7750</t>
        </is>
      </c>
      <c r="H327" s="9" t="inlineStr">
        <is>
          <t>DOT82179</t>
        </is>
      </c>
      <c r="I327" s="11" t="n">
        <v>0.188</v>
      </c>
      <c r="J327" s="8" t="inlineStr">
        <is>
          <t>Express Engine Bay Hose Thermal Crack Hazard</t>
        </is>
      </c>
      <c r="K327" s="9" t="inlineStr">
        <is>
          <t>Warm Prospect</t>
        </is>
      </c>
      <c r="L327" s="12">
        <f>IF(C327&gt;0, 99 + (C327 * 2.5), 0)</f>
        <v/>
      </c>
    </row>
    <row r="328">
      <c r="A328" s="13" t="inlineStr">
        <is>
          <t>Titan Power Systems LLC</t>
        </is>
      </c>
      <c r="B328" s="14" t="inlineStr">
        <is>
          <t>Electrical Services</t>
        </is>
      </c>
      <c r="C328" s="15" t="n">
        <v>144</v>
      </c>
      <c r="D328" s="13" t="inlineStr">
        <is>
          <t>Chevy Express 3500</t>
        </is>
      </c>
      <c r="E328" s="13" t="inlineStr">
        <is>
          <t>Thomas Moore</t>
        </is>
      </c>
      <c r="F328" s="13" t="inlineStr">
        <is>
          <t>thomas@titanpowersystemsllc.com</t>
        </is>
      </c>
      <c r="G328" s="13" t="inlineStr">
        <is>
          <t>702-555-1319</t>
        </is>
      </c>
      <c r="H328" s="14" t="inlineStr">
        <is>
          <t>DOT60134</t>
        </is>
      </c>
      <c r="I328" s="16" t="n">
        <v>0.282</v>
      </c>
      <c r="J328" s="13" t="inlineStr">
        <is>
          <t>Express Engine Bay Hose Thermal Crack Hazard</t>
        </is>
      </c>
      <c r="K328" s="14" t="inlineStr">
        <is>
          <t>Warm Prospect</t>
        </is>
      </c>
      <c r="L328" s="17">
        <f>IF(C328&gt;0, 99 + (C328 * 2.5), 0)</f>
        <v/>
      </c>
    </row>
    <row r="329">
      <c r="A329" s="8" t="inlineStr">
        <is>
          <t>High Rise Wiring Solutions LLC</t>
        </is>
      </c>
      <c r="B329" s="9" t="inlineStr">
        <is>
          <t>Electrical Services</t>
        </is>
      </c>
      <c r="C329" s="10" t="n">
        <v>109</v>
      </c>
      <c r="D329" s="8" t="inlineStr">
        <is>
          <t>Ram ProMaster 2500</t>
        </is>
      </c>
      <c r="E329" s="8" t="inlineStr">
        <is>
          <t>Charles Garcia</t>
        </is>
      </c>
      <c r="F329" s="8" t="inlineStr">
        <is>
          <t>charles@highrisewiringsolutionsllc.com</t>
        </is>
      </c>
      <c r="G329" s="8" t="inlineStr">
        <is>
          <t>702-555-1427</t>
        </is>
      </c>
      <c r="H329" s="9" t="inlineStr">
        <is>
          <t>DOT51795</t>
        </is>
      </c>
      <c r="I329" s="11" t="n">
        <v>0.225</v>
      </c>
      <c r="J329" s="8" t="inlineStr">
        <is>
          <t>ProMaster Brake Line Rubbing Collision Abrasion Leak</t>
        </is>
      </c>
      <c r="K329" s="9" t="inlineStr">
        <is>
          <t>Warm Prospect</t>
        </is>
      </c>
      <c r="L329" s="12">
        <f>IF(C329&gt;0, 99 + (C329 * 2.5), 0)</f>
        <v/>
      </c>
    </row>
    <row r="330">
      <c r="A330" s="13" t="inlineStr">
        <is>
          <t>Silver State Wiring Solutions Group</t>
        </is>
      </c>
      <c r="B330" s="14" t="inlineStr">
        <is>
          <t>Electrical Services</t>
        </is>
      </c>
      <c r="C330" s="15" t="n">
        <v>69</v>
      </c>
      <c r="D330" s="13" t="inlineStr">
        <is>
          <t>Ram ProMaster 2500</t>
        </is>
      </c>
      <c r="E330" s="13" t="inlineStr">
        <is>
          <t>William Brown</t>
        </is>
      </c>
      <c r="F330" s="13" t="inlineStr">
        <is>
          <t>william@silverstatewiringsolutionsgroup.com</t>
        </is>
      </c>
      <c r="G330" s="13" t="inlineStr">
        <is>
          <t>702-555-5060</t>
        </is>
      </c>
      <c r="H330" s="14" t="inlineStr">
        <is>
          <t>DOT96096</t>
        </is>
      </c>
      <c r="I330" s="16" t="n">
        <v>0.115</v>
      </c>
      <c r="J330" s="13" t="inlineStr">
        <is>
          <t>ProMaster Brake Line Rubbing Collision Abrasion Leak</t>
        </is>
      </c>
      <c r="K330" s="14" t="inlineStr">
        <is>
          <t>Audit Run</t>
        </is>
      </c>
      <c r="L330" s="17">
        <f>IF(C330&gt;0, 99 + (C330 * 2.5), 0)</f>
        <v/>
      </c>
    </row>
    <row r="331">
      <c r="A331" s="8" t="inlineStr">
        <is>
          <t>Silver State Airport Express Group</t>
        </is>
      </c>
      <c r="B331" s="9" t="inlineStr">
        <is>
          <t>Boutique Transit</t>
        </is>
      </c>
      <c r="C331" s="10" t="n">
        <v>100</v>
      </c>
      <c r="D331" s="8" t="inlineStr">
        <is>
          <t>Mercedes-Benz Sprinter 3500</t>
        </is>
      </c>
      <c r="E331" s="8" t="inlineStr">
        <is>
          <t>William Garcia</t>
        </is>
      </c>
      <c r="F331" s="8" t="inlineStr">
        <is>
          <t>william@silverstateairportexpressgroup.com</t>
        </is>
      </c>
      <c r="G331" s="8" t="inlineStr">
        <is>
          <t>702-555-4875</t>
        </is>
      </c>
      <c r="H331" s="9" t="inlineStr">
        <is>
          <t>DOT87662</t>
        </is>
      </c>
      <c r="I331" s="11" t="n">
        <v>0.139</v>
      </c>
      <c r="J331" s="8" t="inlineStr">
        <is>
          <t>Sprinter AC Comp Condensation Drain Backup Wiring Short</t>
        </is>
      </c>
      <c r="K331" s="9" t="inlineStr">
        <is>
          <t>Warm Prospect</t>
        </is>
      </c>
      <c r="L331" s="12">
        <f>IF(C331&gt;0, 99 + (C331 * 2.5), 0)</f>
        <v/>
      </c>
    </row>
    <row r="332">
      <c r="A332" s="13" t="inlineStr">
        <is>
          <t>Silver State Charter Buses Group</t>
        </is>
      </c>
      <c r="B332" s="14" t="inlineStr">
        <is>
          <t>Boutique Transit</t>
        </is>
      </c>
      <c r="C332" s="15" t="n">
        <v>46</v>
      </c>
      <c r="D332" s="13" t="inlineStr">
        <is>
          <t>Mercedes-Benz Sprinter 3500</t>
        </is>
      </c>
      <c r="E332" s="13" t="inlineStr">
        <is>
          <t>Joshua Miller</t>
        </is>
      </c>
      <c r="F332" s="13" t="inlineStr">
        <is>
          <t>joshua@silverstatecharterbusesgroup.com</t>
        </is>
      </c>
      <c r="G332" s="13" t="inlineStr">
        <is>
          <t>702-555-9064</t>
        </is>
      </c>
      <c r="H332" s="14" t="inlineStr">
        <is>
          <t>DOT81057</t>
        </is>
      </c>
      <c r="I332" s="16" t="n">
        <v>0.136</v>
      </c>
      <c r="J332" s="13" t="inlineStr">
        <is>
          <t>Sprinter AC Comp Condensation Drain Backup Wiring Short</t>
        </is>
      </c>
      <c r="K332" s="14" t="inlineStr">
        <is>
          <t>Warm Prospect</t>
        </is>
      </c>
      <c r="L332" s="17">
        <f>IF(C332&gt;0, 99 + (C332 * 2.5), 0)</f>
        <v/>
      </c>
    </row>
    <row r="333">
      <c r="A333" s="8" t="inlineStr">
        <is>
          <t>Apex Air Conditioning Inc</t>
        </is>
      </c>
      <c r="B333" s="9" t="inlineStr">
        <is>
          <t>HVAC/Plumbing</t>
        </is>
      </c>
      <c r="C333" s="10" t="n">
        <v>66</v>
      </c>
      <c r="D333" s="8" t="inlineStr">
        <is>
          <t>Chevy Express 2500</t>
        </is>
      </c>
      <c r="E333" s="8" t="inlineStr">
        <is>
          <t>John Taylor</t>
        </is>
      </c>
      <c r="F333" s="8" t="inlineStr">
        <is>
          <t>john@apexairconditioninginc.com</t>
        </is>
      </c>
      <c r="G333" s="8" t="inlineStr">
        <is>
          <t>702-555-8831</t>
        </is>
      </c>
      <c r="H333" s="9" t="inlineStr">
        <is>
          <t>DOT10089</t>
        </is>
      </c>
      <c r="I333" s="11" t="n">
        <v>0.143</v>
      </c>
      <c r="J333" s="8" t="inlineStr">
        <is>
          <t>Express Engine Bay Hose Thermal Crack Hazard</t>
        </is>
      </c>
      <c r="K333" s="9" t="inlineStr">
        <is>
          <t>Audit Run</t>
        </is>
      </c>
      <c r="L333" s="12">
        <f>IF(C333&gt;0, 99 + (C333 * 2.5), 0)</f>
        <v/>
      </c>
    </row>
    <row r="334">
      <c r="A334" s="13" t="inlineStr">
        <is>
          <t>Henderson Plumbing &amp; Drain LLC</t>
        </is>
      </c>
      <c r="B334" s="14" t="inlineStr">
        <is>
          <t>HVAC/Plumbing</t>
        </is>
      </c>
      <c r="C334" s="15" t="n">
        <v>92</v>
      </c>
      <c r="D334" s="13" t="inlineStr">
        <is>
          <t>Ford Transit 350</t>
        </is>
      </c>
      <c r="E334" s="13" t="inlineStr">
        <is>
          <t>Michael Smith</t>
        </is>
      </c>
      <c r="F334" s="13" t="inlineStr">
        <is>
          <t>michael@hendersonplumbingdrainllc.com</t>
        </is>
      </c>
      <c r="G334" s="13" t="inlineStr">
        <is>
          <t>702-555-3420</t>
        </is>
      </c>
      <c r="H334" s="14" t="inlineStr">
        <is>
          <t>DOT86888</t>
        </is>
      </c>
      <c r="I334" s="16" t="n">
        <v>0.258</v>
      </c>
      <c r="J334" s="13" t="inlineStr">
        <is>
          <t>Transit 114°F Electrical Module Overheat Wire Ground Fire Risk</t>
        </is>
      </c>
      <c r="K334" s="14" t="inlineStr">
        <is>
          <t>Warm Prospect</t>
        </is>
      </c>
      <c r="L334" s="17">
        <f>IF(C334&gt;0, 99 + (C334 * 2.5), 0)</f>
        <v/>
      </c>
    </row>
    <row r="335">
      <c r="A335" s="8" t="inlineStr">
        <is>
          <t>Summerlin Plumbing Experts LLC</t>
        </is>
      </c>
      <c r="B335" s="9" t="inlineStr">
        <is>
          <t>HVAC/Plumbing</t>
        </is>
      </c>
      <c r="C335" s="10" t="n">
        <v>105</v>
      </c>
      <c r="D335" s="8" t="inlineStr">
        <is>
          <t>Ford Transit 250</t>
        </is>
      </c>
      <c r="E335" s="8" t="inlineStr">
        <is>
          <t>Anthony Jackson</t>
        </is>
      </c>
      <c r="F335" s="8" t="inlineStr">
        <is>
          <t>anthony@summerlinplumbingexpertsllc.com</t>
        </is>
      </c>
      <c r="G335" s="8" t="inlineStr">
        <is>
          <t>702-555-2655</t>
        </is>
      </c>
      <c r="H335" s="9" t="inlineStr">
        <is>
          <t>DOT54113</t>
        </is>
      </c>
      <c r="I335" s="11" t="n">
        <v>0.134</v>
      </c>
      <c r="J335" s="8" t="inlineStr">
        <is>
          <t>Transit 114°F Electrical Module Overheat Wire Ground Fire Risk</t>
        </is>
      </c>
      <c r="K335" s="9" t="inlineStr">
        <is>
          <t>Warm Prospect</t>
        </is>
      </c>
      <c r="L335" s="12">
        <f>IF(C335&gt;0, 99 + (C335 * 2.5), 0)</f>
        <v/>
      </c>
    </row>
    <row r="336">
      <c r="A336" s="13" t="inlineStr">
        <is>
          <t>Clark County Comfort Heating Group</t>
        </is>
      </c>
      <c r="B336" s="14" t="inlineStr">
        <is>
          <t>HVAC/Plumbing</t>
        </is>
      </c>
      <c r="C336" s="15" t="n">
        <v>91</v>
      </c>
      <c r="D336" s="13" t="inlineStr">
        <is>
          <t>GMC Savana 2500</t>
        </is>
      </c>
      <c r="E336" s="13" t="inlineStr">
        <is>
          <t>William Moore</t>
        </is>
      </c>
      <c r="F336" s="13" t="inlineStr">
        <is>
          <t>william@clarkcountycomfortheatinggroup.com</t>
        </is>
      </c>
      <c r="G336" s="13" t="inlineStr">
        <is>
          <t>702-555-6846</t>
        </is>
      </c>
      <c r="H336" s="14" t="inlineStr">
        <is>
          <t>DOT39260</t>
        </is>
      </c>
      <c r="I336" s="16" t="n">
        <v>0.246</v>
      </c>
      <c r="J336" s="13" t="inlineStr">
        <is>
          <t>Savana Desert Fuel Line Seal Degradation Failure</t>
        </is>
      </c>
      <c r="K336" s="14" t="inlineStr">
        <is>
          <t>Warm Prospect</t>
        </is>
      </c>
      <c r="L336" s="17">
        <f>IF(C336&gt;0, 99 + (C336 * 2.5), 0)</f>
        <v/>
      </c>
    </row>
    <row r="337">
      <c r="A337" s="8" t="inlineStr">
        <is>
          <t>Mojave Electric Pros Group</t>
        </is>
      </c>
      <c r="B337" s="9" t="inlineStr">
        <is>
          <t>Electrical Services</t>
        </is>
      </c>
      <c r="C337" s="10" t="n">
        <v>42</v>
      </c>
      <c r="D337" s="8" t="inlineStr">
        <is>
          <t>Ram ProMaster 2500</t>
        </is>
      </c>
      <c r="E337" s="8" t="inlineStr">
        <is>
          <t>William Smith</t>
        </is>
      </c>
      <c r="F337" s="8" t="inlineStr">
        <is>
          <t>william@mojaveelectricprosgroup.com</t>
        </is>
      </c>
      <c r="G337" s="8" t="inlineStr">
        <is>
          <t>702-555-7415</t>
        </is>
      </c>
      <c r="H337" s="9" t="inlineStr">
        <is>
          <t>DOT84381</t>
        </is>
      </c>
      <c r="I337" s="11" t="n">
        <v>0.05</v>
      </c>
      <c r="J337" s="8" t="inlineStr">
        <is>
          <t>ProMaster Brake Line Rubbing Collision Abrasion Leak</t>
        </is>
      </c>
      <c r="K337" s="9" t="inlineStr">
        <is>
          <t>Audit Run</t>
        </is>
      </c>
      <c r="L337" s="12">
        <f>IF(C337&gt;0, 99 + (C337 * 2.5), 0)</f>
        <v/>
      </c>
    </row>
    <row r="338">
      <c r="A338" s="13" t="inlineStr">
        <is>
          <t>Spring Valley Lighting &amp; Power Inc</t>
        </is>
      </c>
      <c r="B338" s="14" t="inlineStr">
        <is>
          <t>Electrical Services</t>
        </is>
      </c>
      <c r="C338" s="15" t="n">
        <v>137</v>
      </c>
      <c r="D338" s="13" t="inlineStr">
        <is>
          <t>Chevy Express 2500</t>
        </is>
      </c>
      <c r="E338" s="13" t="inlineStr">
        <is>
          <t>David Hernandez</t>
        </is>
      </c>
      <c r="F338" s="13" t="inlineStr">
        <is>
          <t>david@springvalleylightingpowerinc.com</t>
        </is>
      </c>
      <c r="G338" s="13" t="inlineStr">
        <is>
          <t>702-555-2274</t>
        </is>
      </c>
      <c r="H338" s="14" t="inlineStr">
        <is>
          <t>DOT41194</t>
        </is>
      </c>
      <c r="I338" s="16" t="n">
        <v>0.148</v>
      </c>
      <c r="J338" s="13" t="inlineStr">
        <is>
          <t>Express Engine Bay Hose Thermal Crack Hazard</t>
        </is>
      </c>
      <c r="K338" s="14" t="inlineStr">
        <is>
          <t>Warm Prospect</t>
        </is>
      </c>
      <c r="L338" s="17">
        <f>IF(C338&gt;0, 99 + (C338 * 2.5), 0)</f>
        <v/>
      </c>
    </row>
    <row r="339">
      <c r="A339" s="8" t="inlineStr">
        <is>
          <t>Vegas Valley Air Conditioning Group</t>
        </is>
      </c>
      <c r="B339" s="9" t="inlineStr">
        <is>
          <t>HVAC/Plumbing</t>
        </is>
      </c>
      <c r="C339" s="10" t="n">
        <v>124</v>
      </c>
      <c r="D339" s="8" t="inlineStr">
        <is>
          <t>Ford Transit 150</t>
        </is>
      </c>
      <c r="E339" s="8" t="inlineStr">
        <is>
          <t>John Rodriguez</t>
        </is>
      </c>
      <c r="F339" s="8" t="inlineStr">
        <is>
          <t>john@vegasvalleyairconditioninggroup.com</t>
        </is>
      </c>
      <c r="G339" s="8" t="inlineStr">
        <is>
          <t>702-555-4435</t>
        </is>
      </c>
      <c r="H339" s="9" t="inlineStr">
        <is>
          <t>DOT42707</t>
        </is>
      </c>
      <c r="I339" s="11" t="n">
        <v>0.255</v>
      </c>
      <c r="J339" s="8" t="inlineStr">
        <is>
          <t>Transit 114°F Electrical Module Overheat Wire Ground Fire Risk</t>
        </is>
      </c>
      <c r="K339" s="9" t="inlineStr">
        <is>
          <t>Warm Prospect</t>
        </is>
      </c>
      <c r="L339" s="12">
        <f>IF(C339&gt;0, 99 + (C339 * 2.5), 0)</f>
        <v/>
      </c>
    </row>
    <row r="340">
      <c r="A340" s="13" t="inlineStr">
        <is>
          <t>Henderson Electric &amp; Solar Group</t>
        </is>
      </c>
      <c r="B340" s="14" t="inlineStr">
        <is>
          <t>Electrical Services</t>
        </is>
      </c>
      <c r="C340" s="15" t="n">
        <v>22</v>
      </c>
      <c r="D340" s="13" t="inlineStr">
        <is>
          <t>Chevy Express 2500</t>
        </is>
      </c>
      <c r="E340" s="13" t="inlineStr">
        <is>
          <t>Anthony Anderson</t>
        </is>
      </c>
      <c r="F340" s="13" t="inlineStr">
        <is>
          <t>anthony@hendersonelectricsolargroup.com</t>
        </is>
      </c>
      <c r="G340" s="13" t="inlineStr">
        <is>
          <t>702-555-7875</t>
        </is>
      </c>
      <c r="H340" s="14" t="inlineStr">
        <is>
          <t>DOT31802</t>
        </is>
      </c>
      <c r="I340" s="16" t="n">
        <v>0.314</v>
      </c>
      <c r="J340" s="13" t="inlineStr">
        <is>
          <t>Express Engine Bay Hose Thermal Crack Hazard</t>
        </is>
      </c>
      <c r="K340" s="14" t="inlineStr">
        <is>
          <t>Warm Prospect</t>
        </is>
      </c>
      <c r="L340" s="17">
        <f>IF(C340&gt;0, 99 + (C340 * 2.5), 0)</f>
        <v/>
      </c>
    </row>
    <row r="341">
      <c r="A341" s="8" t="inlineStr">
        <is>
          <t>Valley Lighting &amp; Power LLC</t>
        </is>
      </c>
      <c r="B341" s="9" t="inlineStr">
        <is>
          <t>Electrical Services</t>
        </is>
      </c>
      <c r="C341" s="10" t="n">
        <v>132</v>
      </c>
      <c r="D341" s="8" t="inlineStr">
        <is>
          <t>Chevy Express 2500</t>
        </is>
      </c>
      <c r="E341" s="8" t="inlineStr">
        <is>
          <t>Joshua Davis</t>
        </is>
      </c>
      <c r="F341" s="8" t="inlineStr">
        <is>
          <t>joshua@valleylightingpowerllc.com</t>
        </is>
      </c>
      <c r="G341" s="8" t="inlineStr">
        <is>
          <t>702-555-3664</t>
        </is>
      </c>
      <c r="H341" s="9" t="inlineStr">
        <is>
          <t>DOT69151</t>
        </is>
      </c>
      <c r="I341" s="11" t="n">
        <v>0.063</v>
      </c>
      <c r="J341" s="8" t="inlineStr">
        <is>
          <t>Express Engine Bay Hose Thermal Crack Hazard</t>
        </is>
      </c>
      <c r="K341" s="9" t="inlineStr">
        <is>
          <t>Warm Prospect</t>
        </is>
      </c>
      <c r="L341" s="12">
        <f>IF(C341&gt;0, 99 + (C341 * 2.5), 0)</f>
        <v/>
      </c>
    </row>
    <row r="342">
      <c r="A342" s="13" t="inlineStr">
        <is>
          <t>Silver State Electrical Contractors LLC</t>
        </is>
      </c>
      <c r="B342" s="14" t="inlineStr">
        <is>
          <t>Electrical Services</t>
        </is>
      </c>
      <c r="C342" s="15" t="n">
        <v>28</v>
      </c>
      <c r="D342" s="13" t="inlineStr">
        <is>
          <t>Chevy Express 2500</t>
        </is>
      </c>
      <c r="E342" s="13" t="inlineStr">
        <is>
          <t>Daniel Garcia</t>
        </is>
      </c>
      <c r="F342" s="13" t="inlineStr">
        <is>
          <t>daniel@silverstateelectricalcontractorsllc.com</t>
        </is>
      </c>
      <c r="G342" s="13" t="inlineStr">
        <is>
          <t>702-555-7151</t>
        </is>
      </c>
      <c r="H342" s="14" t="inlineStr">
        <is>
          <t>DOT31090</t>
        </is>
      </c>
      <c r="I342" s="16" t="n">
        <v>0.267</v>
      </c>
      <c r="J342" s="13" t="inlineStr">
        <is>
          <t>Express Engine Bay Hose Thermal Crack Hazard</t>
        </is>
      </c>
      <c r="K342" s="14" t="inlineStr">
        <is>
          <t>Audit Run</t>
        </is>
      </c>
      <c r="L342" s="17">
        <f>IF(C342&gt;0, 99 + (C342 * 2.5), 0)</f>
        <v/>
      </c>
    </row>
    <row r="343">
      <c r="A343" s="8" t="inlineStr">
        <is>
          <t>Valley Plumbing Experts Group</t>
        </is>
      </c>
      <c r="B343" s="9" t="inlineStr">
        <is>
          <t>HVAC/Plumbing</t>
        </is>
      </c>
      <c r="C343" s="10" t="n">
        <v>17</v>
      </c>
      <c r="D343" s="8" t="inlineStr">
        <is>
          <t>GMC Savana 2500</t>
        </is>
      </c>
      <c r="E343" s="8" t="inlineStr">
        <is>
          <t>Mark Garcia</t>
        </is>
      </c>
      <c r="F343" s="8" t="inlineStr">
        <is>
          <t>mark@valleyplumbingexpertsgroup.com</t>
        </is>
      </c>
      <c r="G343" s="8" t="inlineStr">
        <is>
          <t>702-555-8113</t>
        </is>
      </c>
      <c r="H343" s="9" t="inlineStr">
        <is>
          <t>DOT30591</t>
        </is>
      </c>
      <c r="I343" s="11" t="n">
        <v>0.057</v>
      </c>
      <c r="J343" s="8" t="inlineStr">
        <is>
          <t>Savana Desert Fuel Line Seal Degradation Failure</t>
        </is>
      </c>
      <c r="K343" s="9" t="inlineStr">
        <is>
          <t>Warm Prospect</t>
        </is>
      </c>
      <c r="L343" s="12">
        <f>IF(C343&gt;0, 99 + (C343 * 2.5), 0)</f>
        <v/>
      </c>
    </row>
    <row r="344">
      <c r="A344" s="13" t="inlineStr">
        <is>
          <t>Sunset Comfort Heating Group</t>
        </is>
      </c>
      <c r="B344" s="14" t="inlineStr">
        <is>
          <t>HVAC/Plumbing</t>
        </is>
      </c>
      <c r="C344" s="15" t="n">
        <v>148</v>
      </c>
      <c r="D344" s="13" t="inlineStr">
        <is>
          <t>Chevy Express 2500</t>
        </is>
      </c>
      <c r="E344" s="13" t="inlineStr">
        <is>
          <t>Charles Martinez</t>
        </is>
      </c>
      <c r="F344" s="13" t="inlineStr">
        <is>
          <t>charles@sunsetcomfortheatinggroup.com</t>
        </is>
      </c>
      <c r="G344" s="13" t="inlineStr">
        <is>
          <t>702-555-5872</t>
        </is>
      </c>
      <c r="H344" s="14" t="inlineStr">
        <is>
          <t>DOT41135</t>
        </is>
      </c>
      <c r="I344" s="16" t="n">
        <v>0.07000000000000001</v>
      </c>
      <c r="J344" s="13" t="inlineStr">
        <is>
          <t>Express Engine Bay Hose Thermal Crack Hazard</t>
        </is>
      </c>
      <c r="K344" s="14" t="inlineStr">
        <is>
          <t>Warm Prospect</t>
        </is>
      </c>
      <c r="L344" s="17">
        <f>IF(C344&gt;0, 99 + (C344 * 2.5), 0)</f>
        <v/>
      </c>
    </row>
    <row r="345">
      <c r="A345" s="8" t="inlineStr">
        <is>
          <t>High Rise Tours &amp; Transit Inc</t>
        </is>
      </c>
      <c r="B345" s="9" t="inlineStr">
        <is>
          <t>Boutique Transit</t>
        </is>
      </c>
      <c r="C345" s="10" t="n">
        <v>102</v>
      </c>
      <c r="D345" s="8" t="inlineStr">
        <is>
          <t>Mercedes-Benz Sprinter 2500</t>
        </is>
      </c>
      <c r="E345" s="8" t="inlineStr">
        <is>
          <t>John Wilson</t>
        </is>
      </c>
      <c r="F345" s="8" t="inlineStr">
        <is>
          <t>john@highrisetourstransitinc.com</t>
        </is>
      </c>
      <c r="G345" s="8" t="inlineStr">
        <is>
          <t>702-555-2435</t>
        </is>
      </c>
      <c r="H345" s="9" t="inlineStr">
        <is>
          <t>DOT48607</t>
        </is>
      </c>
      <c r="I345" s="11" t="n">
        <v>0.295</v>
      </c>
      <c r="J345" s="8" t="inlineStr">
        <is>
          <t>Sprinter AC Comp Condensation Drain Backup Wiring Short</t>
        </is>
      </c>
      <c r="K345" s="9" t="inlineStr">
        <is>
          <t>Audit Run</t>
        </is>
      </c>
      <c r="L345" s="12">
        <f>IF(C345&gt;0, 99 + (C345 * 2.5), 0)</f>
        <v/>
      </c>
    </row>
    <row r="346">
      <c r="A346" s="13" t="inlineStr">
        <is>
          <t>Sunset Electric &amp; Solar Inc</t>
        </is>
      </c>
      <c r="B346" s="14" t="inlineStr">
        <is>
          <t>Electrical Services</t>
        </is>
      </c>
      <c r="C346" s="15" t="n">
        <v>53</v>
      </c>
      <c r="D346" s="13" t="inlineStr">
        <is>
          <t>Chevy Express 3500</t>
        </is>
      </c>
      <c r="E346" s="13" t="inlineStr">
        <is>
          <t>Christopher Williams</t>
        </is>
      </c>
      <c r="F346" s="13" t="inlineStr">
        <is>
          <t>christopher@sunsetelectricsolarinc.com</t>
        </is>
      </c>
      <c r="G346" s="13" t="inlineStr">
        <is>
          <t>702-555-8758</t>
        </is>
      </c>
      <c r="H346" s="14" t="inlineStr">
        <is>
          <t>DOT25139</t>
        </is>
      </c>
      <c r="I346" s="16" t="n">
        <v>0.136</v>
      </c>
      <c r="J346" s="13" t="inlineStr">
        <is>
          <t>Express Engine Bay Hose Thermal Crack Hazard</t>
        </is>
      </c>
      <c r="K346" s="14" t="inlineStr">
        <is>
          <t>Warm Prospect</t>
        </is>
      </c>
      <c r="L346" s="17">
        <f>IF(C346&gt;0, 99 + (C346 * 2.5), 0)</f>
        <v/>
      </c>
    </row>
    <row r="347">
      <c r="A347" s="8" t="inlineStr">
        <is>
          <t>First Choice Electric Pros LLC</t>
        </is>
      </c>
      <c r="B347" s="9" t="inlineStr">
        <is>
          <t>Electrical Services</t>
        </is>
      </c>
      <c r="C347" s="10" t="n">
        <v>149</v>
      </c>
      <c r="D347" s="8" t="inlineStr">
        <is>
          <t>Chevy Express 2500</t>
        </is>
      </c>
      <c r="E347" s="8" t="inlineStr">
        <is>
          <t>Anthony Garcia</t>
        </is>
      </c>
      <c r="F347" s="8" t="inlineStr">
        <is>
          <t>anthony@firstchoiceelectricprosllc.com</t>
        </is>
      </c>
      <c r="G347" s="8" t="inlineStr">
        <is>
          <t>702-555-7078</t>
        </is>
      </c>
      <c r="H347" s="9" t="inlineStr">
        <is>
          <t>DOT59996</t>
        </is>
      </c>
      <c r="I347" s="11" t="n">
        <v>0.155</v>
      </c>
      <c r="J347" s="8" t="inlineStr">
        <is>
          <t>Express Engine Bay Hose Thermal Crack Hazard</t>
        </is>
      </c>
      <c r="K347" s="9" t="inlineStr">
        <is>
          <t>Warm Prospect</t>
        </is>
      </c>
      <c r="L347" s="12">
        <f>IF(C347&gt;0, 99 + (C347 * 2.5), 0)</f>
        <v/>
      </c>
    </row>
    <row r="348">
      <c r="A348" s="13" t="inlineStr">
        <is>
          <t>Mojave Comfort Heating LLC</t>
        </is>
      </c>
      <c r="B348" s="14" t="inlineStr">
        <is>
          <t>HVAC/Plumbing</t>
        </is>
      </c>
      <c r="C348" s="15" t="n">
        <v>67</v>
      </c>
      <c r="D348" s="13" t="inlineStr">
        <is>
          <t>Ford Transit 150</t>
        </is>
      </c>
      <c r="E348" s="13" t="inlineStr">
        <is>
          <t>Charles Jackson</t>
        </is>
      </c>
      <c r="F348" s="13" t="inlineStr">
        <is>
          <t>charles@mojavecomfortheatingllc.com</t>
        </is>
      </c>
      <c r="G348" s="13" t="inlineStr">
        <is>
          <t>702-555-2009</t>
        </is>
      </c>
      <c r="H348" s="14" t="inlineStr">
        <is>
          <t>DOT29808</t>
        </is>
      </c>
      <c r="I348" s="16" t="n">
        <v>0.273</v>
      </c>
      <c r="J348" s="13" t="inlineStr">
        <is>
          <t>Transit 114°F Electrical Module Overheat Wire Ground Fire Risk</t>
        </is>
      </c>
      <c r="K348" s="14" t="inlineStr">
        <is>
          <t>Warm Prospect</t>
        </is>
      </c>
      <c r="L348" s="17">
        <f>IF(C348&gt;0, 99 + (C348 * 2.5), 0)</f>
        <v/>
      </c>
    </row>
    <row r="349">
      <c r="A349" s="8" t="inlineStr">
        <is>
          <t>Vegas Valley HVAC Services Group</t>
        </is>
      </c>
      <c r="B349" s="9" t="inlineStr">
        <is>
          <t>HVAC/Plumbing</t>
        </is>
      </c>
      <c r="C349" s="10" t="n">
        <v>68</v>
      </c>
      <c r="D349" s="8" t="inlineStr">
        <is>
          <t>GMC Savana 2500</t>
        </is>
      </c>
      <c r="E349" s="8" t="inlineStr">
        <is>
          <t>Andrew Johnson</t>
        </is>
      </c>
      <c r="F349" s="8" t="inlineStr">
        <is>
          <t>andrew@vegasvalleyhvacservicesgroup.com</t>
        </is>
      </c>
      <c r="G349" s="8" t="inlineStr">
        <is>
          <t>702-555-7342</t>
        </is>
      </c>
      <c r="H349" s="9" t="inlineStr">
        <is>
          <t>DOT78495</t>
        </is>
      </c>
      <c r="I349" s="11" t="n">
        <v>0.17</v>
      </c>
      <c r="J349" s="8" t="inlineStr">
        <is>
          <t>Savana Desert Fuel Line Seal Degradation Failure</t>
        </is>
      </c>
      <c r="K349" s="9" t="inlineStr">
        <is>
          <t>Audit Run</t>
        </is>
      </c>
      <c r="L349" s="12">
        <f>IF(C349&gt;0, 99 + (C349 * 2.5), 0)</f>
        <v/>
      </c>
    </row>
    <row r="350">
      <c r="A350" s="13" t="inlineStr">
        <is>
          <t>Summerlin Tours &amp; Transit Group</t>
        </is>
      </c>
      <c r="B350" s="14" t="inlineStr">
        <is>
          <t>Boutique Transit</t>
        </is>
      </c>
      <c r="C350" s="15" t="n">
        <v>131</v>
      </c>
      <c r="D350" s="13" t="inlineStr">
        <is>
          <t>Mercedes-Benz Sprinter 2500</t>
        </is>
      </c>
      <c r="E350" s="13" t="inlineStr">
        <is>
          <t>Christopher Williams</t>
        </is>
      </c>
      <c r="F350" s="13" t="inlineStr">
        <is>
          <t>christopher@summerlintourstransitgroup.com</t>
        </is>
      </c>
      <c r="G350" s="13" t="inlineStr">
        <is>
          <t>702-555-7468</t>
        </is>
      </c>
      <c r="H350" s="14" t="inlineStr">
        <is>
          <t>DOT14551</t>
        </is>
      </c>
      <c r="I350" s="16" t="n">
        <v>0.196</v>
      </c>
      <c r="J350" s="13" t="inlineStr">
        <is>
          <t>Sprinter AC Comp Condensation Drain Backup Wiring Short</t>
        </is>
      </c>
      <c r="K350" s="14" t="inlineStr">
        <is>
          <t>Audit Run</t>
        </is>
      </c>
      <c r="L350" s="17">
        <f>IF(C350&gt;0, 99 + (C350 * 2.5), 0)</f>
        <v/>
      </c>
    </row>
    <row r="351">
      <c r="A351" s="8" t="inlineStr">
        <is>
          <t>Vegas Valley Logistics Inc</t>
        </is>
      </c>
      <c r="B351" s="9" t="inlineStr">
        <is>
          <t>Boutique Transit</t>
        </is>
      </c>
      <c r="C351" s="10" t="n">
        <v>124</v>
      </c>
      <c r="D351" s="8" t="inlineStr">
        <is>
          <t>Mercedes-Benz Sprinter 2500</t>
        </is>
      </c>
      <c r="E351" s="8" t="inlineStr">
        <is>
          <t>William Garcia</t>
        </is>
      </c>
      <c r="F351" s="8" t="inlineStr">
        <is>
          <t>william@vegasvalleylogisticsinc.com</t>
        </is>
      </c>
      <c r="G351" s="8" t="inlineStr">
        <is>
          <t>702-555-4471</t>
        </is>
      </c>
      <c r="H351" s="9" t="inlineStr">
        <is>
          <t>DOT35260</t>
        </is>
      </c>
      <c r="I351" s="11" t="n">
        <v>0.079</v>
      </c>
      <c r="J351" s="8" t="inlineStr">
        <is>
          <t>Sprinter AC Comp Condensation Drain Backup Wiring Short</t>
        </is>
      </c>
      <c r="K351" s="9" t="inlineStr">
        <is>
          <t>Warm Prospect</t>
        </is>
      </c>
      <c r="L351" s="12">
        <f>IF(C351&gt;0, 99 + (C351 * 2.5), 0)</f>
        <v/>
      </c>
    </row>
    <row r="352">
      <c r="A352" s="13" t="inlineStr">
        <is>
          <t>Vegas Valley Comfort Heating Inc</t>
        </is>
      </c>
      <c r="B352" s="14" t="inlineStr">
        <is>
          <t>HVAC/Plumbing</t>
        </is>
      </c>
      <c r="C352" s="15" t="n">
        <v>76</v>
      </c>
      <c r="D352" s="13" t="inlineStr">
        <is>
          <t>Ford Transit 350</t>
        </is>
      </c>
      <c r="E352" s="13" t="inlineStr">
        <is>
          <t>Daniel Williams</t>
        </is>
      </c>
      <c r="F352" s="13" t="inlineStr">
        <is>
          <t>daniel@vegasvalleycomfortheatinginc.com</t>
        </is>
      </c>
      <c r="G352" s="13" t="inlineStr">
        <is>
          <t>702-555-2425</t>
        </is>
      </c>
      <c r="H352" s="14" t="inlineStr">
        <is>
          <t>DOT60868</t>
        </is>
      </c>
      <c r="I352" s="16" t="n">
        <v>0.212</v>
      </c>
      <c r="J352" s="13" t="inlineStr">
        <is>
          <t>Transit 114°F Electrical Module Overheat Wire Ground Fire Risk</t>
        </is>
      </c>
      <c r="K352" s="14" t="inlineStr">
        <is>
          <t>Audit Run</t>
        </is>
      </c>
      <c r="L352" s="17">
        <f>IF(C352&gt;0, 99 + (C352 * 2.5), 0)</f>
        <v/>
      </c>
    </row>
    <row r="353">
      <c r="A353" s="8" t="inlineStr">
        <is>
          <t>Summerlin Electrical Contractors Group</t>
        </is>
      </c>
      <c r="B353" s="9" t="inlineStr">
        <is>
          <t>Electrical Services</t>
        </is>
      </c>
      <c r="C353" s="10" t="n">
        <v>13</v>
      </c>
      <c r="D353" s="8" t="inlineStr">
        <is>
          <t>Ram ProMaster 1500</t>
        </is>
      </c>
      <c r="E353" s="8" t="inlineStr">
        <is>
          <t>Kenneth Jackson</t>
        </is>
      </c>
      <c r="F353" s="8" t="inlineStr">
        <is>
          <t>kenneth@summerlinelectricalcontractorsgroup.com</t>
        </is>
      </c>
      <c r="G353" s="8" t="inlineStr">
        <is>
          <t>702-555-9561</t>
        </is>
      </c>
      <c r="H353" s="9" t="inlineStr">
        <is>
          <t>DOT64997</t>
        </is>
      </c>
      <c r="I353" s="11" t="n">
        <v>0.075</v>
      </c>
      <c r="J353" s="8" t="inlineStr">
        <is>
          <t>ProMaster Brake Line Rubbing Collision Abrasion Leak</t>
        </is>
      </c>
      <c r="K353" s="9" t="inlineStr">
        <is>
          <t>Warm Prospect</t>
        </is>
      </c>
      <c r="L353" s="12">
        <f>IF(C353&gt;0, 99 + (C353 * 2.5), 0)</f>
        <v/>
      </c>
    </row>
    <row r="354">
      <c r="A354" s="13" t="inlineStr">
        <is>
          <t>Las Vegas Plumbing Experts Group</t>
        </is>
      </c>
      <c r="B354" s="14" t="inlineStr">
        <is>
          <t>HVAC/Plumbing</t>
        </is>
      </c>
      <c r="C354" s="15" t="n">
        <v>37</v>
      </c>
      <c r="D354" s="13" t="inlineStr">
        <is>
          <t>Ford Transit 250</t>
        </is>
      </c>
      <c r="E354" s="13" t="inlineStr">
        <is>
          <t>Joshua Brown</t>
        </is>
      </c>
      <c r="F354" s="13" t="inlineStr">
        <is>
          <t>joshua@lasvegasplumbingexpertsgroup.com</t>
        </is>
      </c>
      <c r="G354" s="13" t="inlineStr">
        <is>
          <t>702-555-5687</t>
        </is>
      </c>
      <c r="H354" s="14" t="inlineStr">
        <is>
          <t>DOT80206</t>
        </is>
      </c>
      <c r="I354" s="16" t="n">
        <v>0.313</v>
      </c>
      <c r="J354" s="13" t="inlineStr">
        <is>
          <t>Transit 114°F Electrical Module Overheat Wire Ground Fire Risk</t>
        </is>
      </c>
      <c r="K354" s="14" t="inlineStr">
        <is>
          <t>Warm Prospect</t>
        </is>
      </c>
      <c r="L354" s="17">
        <f>IF(C354&gt;0, 99 + (C354 * 2.5), 0)</f>
        <v/>
      </c>
    </row>
    <row r="355">
      <c r="A355" s="8" t="inlineStr">
        <is>
          <t>Titan Electric Pros LLC</t>
        </is>
      </c>
      <c r="B355" s="9" t="inlineStr">
        <is>
          <t>Electrical Services</t>
        </is>
      </c>
      <c r="C355" s="10" t="n">
        <v>19</v>
      </c>
      <c r="D355" s="8" t="inlineStr">
        <is>
          <t>Ram ProMaster 1500</t>
        </is>
      </c>
      <c r="E355" s="8" t="inlineStr">
        <is>
          <t>William Rodriguez</t>
        </is>
      </c>
      <c r="F355" s="8" t="inlineStr">
        <is>
          <t>william@titanelectricprosllc.com</t>
        </is>
      </c>
      <c r="G355" s="8" t="inlineStr">
        <is>
          <t>702-555-7602</t>
        </is>
      </c>
      <c r="H355" s="9" t="inlineStr">
        <is>
          <t>DOT28855</t>
        </is>
      </c>
      <c r="I355" s="11" t="n">
        <v>0.232</v>
      </c>
      <c r="J355" s="8" t="inlineStr">
        <is>
          <t>ProMaster Brake Line Rubbing Collision Abrasion Leak</t>
        </is>
      </c>
      <c r="K355" s="9" t="inlineStr">
        <is>
          <t>Warm Prospect</t>
        </is>
      </c>
      <c r="L355" s="12">
        <f>IF(C355&gt;0, 99 + (C355 * 2.5), 0)</f>
        <v/>
      </c>
    </row>
    <row r="356">
      <c r="A356" s="13" t="inlineStr">
        <is>
          <t>Titan HVAC Services Group</t>
        </is>
      </c>
      <c r="B356" s="14" t="inlineStr">
        <is>
          <t>HVAC/Plumbing</t>
        </is>
      </c>
      <c r="C356" s="15" t="n">
        <v>22</v>
      </c>
      <c r="D356" s="13" t="inlineStr">
        <is>
          <t>Ford Transit 350</t>
        </is>
      </c>
      <c r="E356" s="13" t="inlineStr">
        <is>
          <t>Steven Rodriguez</t>
        </is>
      </c>
      <c r="F356" s="13" t="inlineStr">
        <is>
          <t>steven@titanhvacservicesgroup.com</t>
        </is>
      </c>
      <c r="G356" s="13" t="inlineStr">
        <is>
          <t>702-555-7102</t>
        </is>
      </c>
      <c r="H356" s="14" t="inlineStr">
        <is>
          <t>DOT12651</t>
        </is>
      </c>
      <c r="I356" s="16" t="n">
        <v>0.145</v>
      </c>
      <c r="J356" s="13" t="inlineStr">
        <is>
          <t>Transit 114°F Electrical Module Overheat Wire Ground Fire Risk</t>
        </is>
      </c>
      <c r="K356" s="14" t="inlineStr">
        <is>
          <t>Warm Prospect</t>
        </is>
      </c>
      <c r="L356" s="17">
        <f>IF(C356&gt;0, 99 + (C356 * 2.5), 0)</f>
        <v/>
      </c>
    </row>
    <row r="357">
      <c r="A357" s="8" t="inlineStr">
        <is>
          <t>Mojave Wiring Solutions Group</t>
        </is>
      </c>
      <c r="B357" s="9" t="inlineStr">
        <is>
          <t>Electrical Services</t>
        </is>
      </c>
      <c r="C357" s="10" t="n">
        <v>68</v>
      </c>
      <c r="D357" s="8" t="inlineStr">
        <is>
          <t>Chevy Express 2500</t>
        </is>
      </c>
      <c r="E357" s="8" t="inlineStr">
        <is>
          <t>David Martinez</t>
        </is>
      </c>
      <c r="F357" s="8" t="inlineStr">
        <is>
          <t>david@mojavewiringsolutionsgroup.com</t>
        </is>
      </c>
      <c r="G357" s="8" t="inlineStr">
        <is>
          <t>702-555-8259</t>
        </is>
      </c>
      <c r="H357" s="9" t="inlineStr">
        <is>
          <t>DOT52056</t>
        </is>
      </c>
      <c r="I357" s="11" t="n">
        <v>0.124</v>
      </c>
      <c r="J357" s="8" t="inlineStr">
        <is>
          <t>Express Engine Bay Hose Thermal Crack Hazard</t>
        </is>
      </c>
      <c r="K357" s="9" t="inlineStr">
        <is>
          <t>Warm Prospect</t>
        </is>
      </c>
      <c r="L357" s="12">
        <f>IF(C357&gt;0, 99 + (C357 * 2.5), 0)</f>
        <v/>
      </c>
    </row>
    <row r="358">
      <c r="A358" s="13" t="inlineStr">
        <is>
          <t>Vegas Valley Shuttles Inc</t>
        </is>
      </c>
      <c r="B358" s="14" t="inlineStr">
        <is>
          <t>Boutique Transit</t>
        </is>
      </c>
      <c r="C358" s="15" t="n">
        <v>64</v>
      </c>
      <c r="D358" s="13" t="inlineStr">
        <is>
          <t>Mercedes-Benz Sprinter 3500</t>
        </is>
      </c>
      <c r="E358" s="13" t="inlineStr">
        <is>
          <t>Mark Thomas</t>
        </is>
      </c>
      <c r="F358" s="13" t="inlineStr">
        <is>
          <t>mark@vegasvalleyshuttlesinc.com</t>
        </is>
      </c>
      <c r="G358" s="13" t="inlineStr">
        <is>
          <t>702-555-9462</t>
        </is>
      </c>
      <c r="H358" s="14" t="inlineStr">
        <is>
          <t>DOT59009</t>
        </is>
      </c>
      <c r="I358" s="16" t="n">
        <v>0.295</v>
      </c>
      <c r="J358" s="13" t="inlineStr">
        <is>
          <t>Sprinter AC Comp Condensation Drain Backup Wiring Short</t>
        </is>
      </c>
      <c r="K358" s="14" t="inlineStr">
        <is>
          <t>Audit Run</t>
        </is>
      </c>
      <c r="L358" s="17">
        <f>IF(C358&gt;0, 99 + (C358 * 2.5), 0)</f>
        <v/>
      </c>
    </row>
    <row r="359">
      <c r="A359" s="8" t="inlineStr">
        <is>
          <t>Apex HVAC Services Group</t>
        </is>
      </c>
      <c r="B359" s="9" t="inlineStr">
        <is>
          <t>HVAC/Plumbing</t>
        </is>
      </c>
      <c r="C359" s="10" t="n">
        <v>113</v>
      </c>
      <c r="D359" s="8" t="inlineStr">
        <is>
          <t>Chevy Express 2500</t>
        </is>
      </c>
      <c r="E359" s="8" t="inlineStr">
        <is>
          <t>David Taylor</t>
        </is>
      </c>
      <c r="F359" s="8" t="inlineStr">
        <is>
          <t>david@apexhvacservicesgroup.com</t>
        </is>
      </c>
      <c r="G359" s="8" t="inlineStr">
        <is>
          <t>702-555-1474</t>
        </is>
      </c>
      <c r="H359" s="9" t="inlineStr">
        <is>
          <t>DOT32772</t>
        </is>
      </c>
      <c r="I359" s="11" t="n">
        <v>0.1</v>
      </c>
      <c r="J359" s="8" t="inlineStr">
        <is>
          <t>Express Engine Bay Hose Thermal Crack Hazard</t>
        </is>
      </c>
      <c r="K359" s="9" t="inlineStr">
        <is>
          <t>Warm Prospect</t>
        </is>
      </c>
      <c r="L359" s="12">
        <f>IF(C359&gt;0, 99 + (C359 * 2.5), 0)</f>
        <v/>
      </c>
    </row>
    <row r="360">
      <c r="A360" s="13" t="inlineStr">
        <is>
          <t>Sunset Air Conditioning LLC</t>
        </is>
      </c>
      <c r="B360" s="14" t="inlineStr">
        <is>
          <t>HVAC/Plumbing</t>
        </is>
      </c>
      <c r="C360" s="15" t="n">
        <v>102</v>
      </c>
      <c r="D360" s="13" t="inlineStr">
        <is>
          <t>Ford Transit 250</t>
        </is>
      </c>
      <c r="E360" s="13" t="inlineStr">
        <is>
          <t>Richard Rodriguez</t>
        </is>
      </c>
      <c r="F360" s="13" t="inlineStr">
        <is>
          <t>richard@sunsetairconditioningllc.com</t>
        </is>
      </c>
      <c r="G360" s="13" t="inlineStr">
        <is>
          <t>702-555-7035</t>
        </is>
      </c>
      <c r="H360" s="14" t="inlineStr">
        <is>
          <t>DOT70846</t>
        </is>
      </c>
      <c r="I360" s="16" t="n">
        <v>0.197</v>
      </c>
      <c r="J360" s="13" t="inlineStr">
        <is>
          <t>Transit 114°F Electrical Module Overheat Wire Ground Fire Risk</t>
        </is>
      </c>
      <c r="K360" s="14" t="inlineStr">
        <is>
          <t>Warm Prospect</t>
        </is>
      </c>
      <c r="L360" s="17">
        <f>IF(C360&gt;0, 99 + (C360 * 2.5), 0)</f>
        <v/>
      </c>
    </row>
    <row r="361">
      <c r="A361" s="8" t="inlineStr">
        <is>
          <t>Silver State Airport Express LLC</t>
        </is>
      </c>
      <c r="B361" s="9" t="inlineStr">
        <is>
          <t>Boutique Transit</t>
        </is>
      </c>
      <c r="C361" s="10" t="n">
        <v>124</v>
      </c>
      <c r="D361" s="8" t="inlineStr">
        <is>
          <t>Mercedes-Benz Sprinter 3500</t>
        </is>
      </c>
      <c r="E361" s="8" t="inlineStr">
        <is>
          <t>William Thomas</t>
        </is>
      </c>
      <c r="F361" s="8" t="inlineStr">
        <is>
          <t>william@silverstateairportexpressllc.com</t>
        </is>
      </c>
      <c r="G361" s="8" t="inlineStr">
        <is>
          <t>702-555-6730</t>
        </is>
      </c>
      <c r="H361" s="9" t="inlineStr">
        <is>
          <t>DOT55121</t>
        </is>
      </c>
      <c r="I361" s="11" t="n">
        <v>0.091</v>
      </c>
      <c r="J361" s="8" t="inlineStr">
        <is>
          <t>Sprinter AC Comp Condensation Drain Backup Wiring Short</t>
        </is>
      </c>
      <c r="K361" s="9" t="inlineStr">
        <is>
          <t>Warm Prospect</t>
        </is>
      </c>
      <c r="L361" s="12">
        <f>IF(C361&gt;0, 99 + (C361 * 2.5), 0)</f>
        <v/>
      </c>
    </row>
    <row r="362">
      <c r="A362" s="13" t="inlineStr">
        <is>
          <t>Summerlin Charter Buses Inc</t>
        </is>
      </c>
      <c r="B362" s="14" t="inlineStr">
        <is>
          <t>Boutique Transit</t>
        </is>
      </c>
      <c r="C362" s="15" t="n">
        <v>17</v>
      </c>
      <c r="D362" s="13" t="inlineStr">
        <is>
          <t>Mercedes-Benz Sprinter 3500</t>
        </is>
      </c>
      <c r="E362" s="13" t="inlineStr">
        <is>
          <t>Anthony Johnson</t>
        </is>
      </c>
      <c r="F362" s="13" t="inlineStr">
        <is>
          <t>anthony@summerlincharterbusesinc.com</t>
        </is>
      </c>
      <c r="G362" s="13" t="inlineStr">
        <is>
          <t>702-555-3669</t>
        </is>
      </c>
      <c r="H362" s="14" t="inlineStr">
        <is>
          <t>DOT85007</t>
        </is>
      </c>
      <c r="I362" s="16" t="n">
        <v>0.282</v>
      </c>
      <c r="J362" s="13" t="inlineStr">
        <is>
          <t>Sprinter AC Comp Condensation Drain Backup Wiring Short</t>
        </is>
      </c>
      <c r="K362" s="14" t="inlineStr">
        <is>
          <t>Warm Prospect</t>
        </is>
      </c>
      <c r="L362" s="17">
        <f>IF(C362&gt;0, 99 + (C362 * 2.5), 0)</f>
        <v/>
      </c>
    </row>
    <row r="363">
      <c r="A363" s="8" t="inlineStr">
        <is>
          <t>Vegas Valley Plumbing &amp; Drain Group</t>
        </is>
      </c>
      <c r="B363" s="9" t="inlineStr">
        <is>
          <t>HVAC/Plumbing</t>
        </is>
      </c>
      <c r="C363" s="10" t="n">
        <v>78</v>
      </c>
      <c r="D363" s="8" t="inlineStr">
        <is>
          <t>Ford Transit 350</t>
        </is>
      </c>
      <c r="E363" s="8" t="inlineStr">
        <is>
          <t>Mark Taylor</t>
        </is>
      </c>
      <c r="F363" s="8" t="inlineStr">
        <is>
          <t>mark@vegasvalleyplumbingdraingroup.com</t>
        </is>
      </c>
      <c r="G363" s="8" t="inlineStr">
        <is>
          <t>702-555-1328</t>
        </is>
      </c>
      <c r="H363" s="9" t="inlineStr">
        <is>
          <t>DOT99417</t>
        </is>
      </c>
      <c r="I363" s="11" t="n">
        <v>0.043</v>
      </c>
      <c r="J363" s="8" t="inlineStr">
        <is>
          <t>Transit 114°F Electrical Module Overheat Wire Ground Fire Risk</t>
        </is>
      </c>
      <c r="K363" s="9" t="inlineStr">
        <is>
          <t>Warm Prospect</t>
        </is>
      </c>
      <c r="L363" s="12">
        <f>IF(C363&gt;0, 99 + (C363 * 2.5), 0)</f>
        <v/>
      </c>
    </row>
    <row r="364">
      <c r="A364" s="13" t="inlineStr">
        <is>
          <t>Red Rock Logistics Inc</t>
        </is>
      </c>
      <c r="B364" s="14" t="inlineStr">
        <is>
          <t>Boutique Transit</t>
        </is>
      </c>
      <c r="C364" s="15" t="n">
        <v>74</v>
      </c>
      <c r="D364" s="13" t="inlineStr">
        <is>
          <t>Mercedes-Benz Sprinter 2500</t>
        </is>
      </c>
      <c r="E364" s="13" t="inlineStr">
        <is>
          <t>Kenneth Martinez</t>
        </is>
      </c>
      <c r="F364" s="13" t="inlineStr">
        <is>
          <t>kenneth@redrocklogisticsinc.com</t>
        </is>
      </c>
      <c r="G364" s="13" t="inlineStr">
        <is>
          <t>702-555-5511</t>
        </is>
      </c>
      <c r="H364" s="14" t="inlineStr">
        <is>
          <t>DOT65549</t>
        </is>
      </c>
      <c r="I364" s="16" t="n">
        <v>0.318</v>
      </c>
      <c r="J364" s="13" t="inlineStr">
        <is>
          <t>Sprinter AC Comp Condensation Drain Backup Wiring Short</t>
        </is>
      </c>
      <c r="K364" s="14" t="inlineStr">
        <is>
          <t>Warm Prospect</t>
        </is>
      </c>
      <c r="L364" s="17">
        <f>IF(C364&gt;0, 99 + (C364 * 2.5), 0)</f>
        <v/>
      </c>
    </row>
    <row r="365">
      <c r="A365" s="8" t="inlineStr">
        <is>
          <t>Mojave Power Systems LLC</t>
        </is>
      </c>
      <c r="B365" s="9" t="inlineStr">
        <is>
          <t>Electrical Services</t>
        </is>
      </c>
      <c r="C365" s="10" t="n">
        <v>143</v>
      </c>
      <c r="D365" s="8" t="inlineStr">
        <is>
          <t>Ram ProMaster 2500</t>
        </is>
      </c>
      <c r="E365" s="8" t="inlineStr">
        <is>
          <t>Kenneth Gonzalez</t>
        </is>
      </c>
      <c r="F365" s="8" t="inlineStr">
        <is>
          <t>kenneth@mojavepowersystemsllc.com</t>
        </is>
      </c>
      <c r="G365" s="8" t="inlineStr">
        <is>
          <t>702-555-2676</t>
        </is>
      </c>
      <c r="H365" s="9" t="inlineStr">
        <is>
          <t>DOT10963</t>
        </is>
      </c>
      <c r="I365" s="11" t="n">
        <v>0.199</v>
      </c>
      <c r="J365" s="8" t="inlineStr">
        <is>
          <t>ProMaster Brake Line Rubbing Collision Abrasion Leak</t>
        </is>
      </c>
      <c r="K365" s="9" t="inlineStr">
        <is>
          <t>Warm Prospect</t>
        </is>
      </c>
      <c r="L365" s="12">
        <f>IF(C365&gt;0, 99 + (C365 * 2.5), 0)</f>
        <v/>
      </c>
    </row>
    <row r="366">
      <c r="A366" s="13" t="inlineStr">
        <is>
          <t>Vegas Valley Logistics Group</t>
        </is>
      </c>
      <c r="B366" s="14" t="inlineStr">
        <is>
          <t>Boutique Transit</t>
        </is>
      </c>
      <c r="C366" s="15" t="n">
        <v>86</v>
      </c>
      <c r="D366" s="13" t="inlineStr">
        <is>
          <t>Mercedes-Benz Sprinter 3500</t>
        </is>
      </c>
      <c r="E366" s="13" t="inlineStr">
        <is>
          <t>Robert Thomas</t>
        </is>
      </c>
      <c r="F366" s="13" t="inlineStr">
        <is>
          <t>robert@vegasvalleylogisticsgroup.com</t>
        </is>
      </c>
      <c r="G366" s="13" t="inlineStr">
        <is>
          <t>702-555-2045</t>
        </is>
      </c>
      <c r="H366" s="14" t="inlineStr">
        <is>
          <t>DOT54077</t>
        </is>
      </c>
      <c r="I366" s="16" t="n">
        <v>0.346</v>
      </c>
      <c r="J366" s="13" t="inlineStr">
        <is>
          <t>Sprinter AC Comp Condensation Drain Backup Wiring Short</t>
        </is>
      </c>
      <c r="K366" s="14" t="inlineStr">
        <is>
          <t>Warm Prospect</t>
        </is>
      </c>
      <c r="L366" s="17">
        <f>IF(C366&gt;0, 99 + (C366 * 2.5), 0)</f>
        <v/>
      </c>
    </row>
    <row r="367">
      <c r="A367" s="8" t="inlineStr">
        <is>
          <t>Mojave Electric Pros Group</t>
        </is>
      </c>
      <c r="B367" s="9" t="inlineStr">
        <is>
          <t>Electrical Services</t>
        </is>
      </c>
      <c r="C367" s="10" t="n">
        <v>58</v>
      </c>
      <c r="D367" s="8" t="inlineStr">
        <is>
          <t>Ram ProMaster 2500</t>
        </is>
      </c>
      <c r="E367" s="8" t="inlineStr">
        <is>
          <t>David Taylor</t>
        </is>
      </c>
      <c r="F367" s="8" t="inlineStr">
        <is>
          <t>david@mojaveelectricprosgroup.com</t>
        </is>
      </c>
      <c r="G367" s="8" t="inlineStr">
        <is>
          <t>702-555-4937</t>
        </is>
      </c>
      <c r="H367" s="9" t="inlineStr">
        <is>
          <t>DOT17441</t>
        </is>
      </c>
      <c r="I367" s="11" t="n">
        <v>0.29</v>
      </c>
      <c r="J367" s="8" t="inlineStr">
        <is>
          <t>ProMaster Brake Line Rubbing Collision Abrasion Leak</t>
        </is>
      </c>
      <c r="K367" s="9" t="inlineStr">
        <is>
          <t>Audit Run</t>
        </is>
      </c>
      <c r="L367" s="12">
        <f>IF(C367&gt;0, 99 + (C367 * 2.5), 0)</f>
        <v/>
      </c>
    </row>
    <row r="368">
      <c r="A368" s="13" t="inlineStr">
        <is>
          <t>Vegas Valley Electrical Contractors Group</t>
        </is>
      </c>
      <c r="B368" s="14" t="inlineStr">
        <is>
          <t>Electrical Services</t>
        </is>
      </c>
      <c r="C368" s="15" t="n">
        <v>16</v>
      </c>
      <c r="D368" s="13" t="inlineStr">
        <is>
          <t>Chevy Express 3500</t>
        </is>
      </c>
      <c r="E368" s="13" t="inlineStr">
        <is>
          <t>Steven Martinez</t>
        </is>
      </c>
      <c r="F368" s="13" t="inlineStr">
        <is>
          <t>steven@vegasvalleyelectricalcontractorsgroup.com</t>
        </is>
      </c>
      <c r="G368" s="13" t="inlineStr">
        <is>
          <t>702-555-5250</t>
        </is>
      </c>
      <c r="H368" s="14" t="inlineStr">
        <is>
          <t>DOT64862</t>
        </is>
      </c>
      <c r="I368" s="16" t="n">
        <v>0.165</v>
      </c>
      <c r="J368" s="13" t="inlineStr">
        <is>
          <t>Express Engine Bay Hose Thermal Crack Hazard</t>
        </is>
      </c>
      <c r="K368" s="14" t="inlineStr">
        <is>
          <t>Warm Prospect</t>
        </is>
      </c>
      <c r="L368" s="17">
        <f>IF(C368&gt;0, 99 + (C368 * 2.5), 0)</f>
        <v/>
      </c>
    </row>
    <row r="369">
      <c r="A369" s="8" t="inlineStr">
        <is>
          <t>Clark County Logistics Inc</t>
        </is>
      </c>
      <c r="B369" s="9" t="inlineStr">
        <is>
          <t>Boutique Transit</t>
        </is>
      </c>
      <c r="C369" s="10" t="n">
        <v>66</v>
      </c>
      <c r="D369" s="8" t="inlineStr">
        <is>
          <t>Mercedes-Benz Sprinter 3500</t>
        </is>
      </c>
      <c r="E369" s="8" t="inlineStr">
        <is>
          <t>Andrew Thomas</t>
        </is>
      </c>
      <c r="F369" s="8" t="inlineStr">
        <is>
          <t>andrew@clarkcountylogisticsinc.com</t>
        </is>
      </c>
      <c r="G369" s="8" t="inlineStr">
        <is>
          <t>702-555-6873</t>
        </is>
      </c>
      <c r="H369" s="9" t="inlineStr">
        <is>
          <t>DOT76494</t>
        </is>
      </c>
      <c r="I369" s="11" t="n">
        <v>0.133</v>
      </c>
      <c r="J369" s="8" t="inlineStr">
        <is>
          <t>Sprinter AC Comp Condensation Drain Backup Wiring Short</t>
        </is>
      </c>
      <c r="K369" s="9" t="inlineStr">
        <is>
          <t>Warm Prospect</t>
        </is>
      </c>
      <c r="L369" s="12">
        <f>IF(C369&gt;0, 99 + (C369 * 2.5), 0)</f>
        <v/>
      </c>
    </row>
    <row r="370">
      <c r="A370" s="13" t="inlineStr">
        <is>
          <t>Spring Valley Logistics Inc</t>
        </is>
      </c>
      <c r="B370" s="14" t="inlineStr">
        <is>
          <t>Boutique Transit</t>
        </is>
      </c>
      <c r="C370" s="15" t="n">
        <v>34</v>
      </c>
      <c r="D370" s="13" t="inlineStr">
        <is>
          <t>Mercedes-Benz Sprinter 3500</t>
        </is>
      </c>
      <c r="E370" s="13" t="inlineStr">
        <is>
          <t>Steven Jones</t>
        </is>
      </c>
      <c r="F370" s="13" t="inlineStr">
        <is>
          <t>steven@springvalleylogisticsinc.com</t>
        </is>
      </c>
      <c r="G370" s="13" t="inlineStr">
        <is>
          <t>702-555-5237</t>
        </is>
      </c>
      <c r="H370" s="14" t="inlineStr">
        <is>
          <t>DOT83273</t>
        </is>
      </c>
      <c r="I370" s="16" t="n">
        <v>0.277</v>
      </c>
      <c r="J370" s="13" t="inlineStr">
        <is>
          <t>Sprinter AC Comp Condensation Drain Backup Wiring Short</t>
        </is>
      </c>
      <c r="K370" s="14" t="inlineStr">
        <is>
          <t>Warm Prospect</t>
        </is>
      </c>
      <c r="L370" s="17">
        <f>IF(C370&gt;0, 99 + (C370 * 2.5), 0)</f>
        <v/>
      </c>
    </row>
    <row r="371">
      <c r="A371" s="8" t="inlineStr">
        <is>
          <t>Spring Valley Chauffeurs Group</t>
        </is>
      </c>
      <c r="B371" s="9" t="inlineStr">
        <is>
          <t>Boutique Transit</t>
        </is>
      </c>
      <c r="C371" s="10" t="n">
        <v>66</v>
      </c>
      <c r="D371" s="8" t="inlineStr">
        <is>
          <t>Mercedes-Benz Sprinter 2500</t>
        </is>
      </c>
      <c r="E371" s="8" t="inlineStr">
        <is>
          <t>Matthew Davis</t>
        </is>
      </c>
      <c r="F371" s="8" t="inlineStr">
        <is>
          <t>matthew@springvalleychauffeursgroup.com</t>
        </is>
      </c>
      <c r="G371" s="8" t="inlineStr">
        <is>
          <t>702-555-6031</t>
        </is>
      </c>
      <c r="H371" s="9" t="inlineStr">
        <is>
          <t>DOT65112</t>
        </is>
      </c>
      <c r="I371" s="11" t="n">
        <v>0.284</v>
      </c>
      <c r="J371" s="8" t="inlineStr">
        <is>
          <t>Sprinter AC Comp Condensation Drain Backup Wiring Short</t>
        </is>
      </c>
      <c r="K371" s="9" t="inlineStr">
        <is>
          <t>Warm Prospect</t>
        </is>
      </c>
      <c r="L371" s="12">
        <f>IF(C371&gt;0, 99 + (C371 * 2.5), 0)</f>
        <v/>
      </c>
    </row>
    <row r="372">
      <c r="A372" s="13" t="inlineStr">
        <is>
          <t>Mojave Lighting &amp; Power LLC</t>
        </is>
      </c>
      <c r="B372" s="14" t="inlineStr">
        <is>
          <t>Electrical Services</t>
        </is>
      </c>
      <c r="C372" s="15" t="n">
        <v>40</v>
      </c>
      <c r="D372" s="13" t="inlineStr">
        <is>
          <t>Ram ProMaster 1500</t>
        </is>
      </c>
      <c r="E372" s="13" t="inlineStr">
        <is>
          <t>Steven Johnson</t>
        </is>
      </c>
      <c r="F372" s="13" t="inlineStr">
        <is>
          <t>steven@mojavelightingpowerllc.com</t>
        </is>
      </c>
      <c r="G372" s="13" t="inlineStr">
        <is>
          <t>702-555-2166</t>
        </is>
      </c>
      <c r="H372" s="14" t="inlineStr">
        <is>
          <t>DOT71894</t>
        </is>
      </c>
      <c r="I372" s="16" t="n">
        <v>0.316</v>
      </c>
      <c r="J372" s="13" t="inlineStr">
        <is>
          <t>ProMaster Brake Line Rubbing Collision Abrasion Leak</t>
        </is>
      </c>
      <c r="K372" s="14" t="inlineStr">
        <is>
          <t>Audit Run</t>
        </is>
      </c>
      <c r="L372" s="17">
        <f>IF(C372&gt;0, 99 + (C372 * 2.5), 0)</f>
        <v/>
      </c>
    </row>
    <row r="373">
      <c r="A373" s="8" t="inlineStr">
        <is>
          <t>Summerlin Mechanical Services LLC</t>
        </is>
      </c>
      <c r="B373" s="9" t="inlineStr">
        <is>
          <t>HVAC/Plumbing</t>
        </is>
      </c>
      <c r="C373" s="10" t="n">
        <v>86</v>
      </c>
      <c r="D373" s="8" t="inlineStr">
        <is>
          <t>Chevy Express 2500</t>
        </is>
      </c>
      <c r="E373" s="8" t="inlineStr">
        <is>
          <t>Mark Johnson</t>
        </is>
      </c>
      <c r="F373" s="8" t="inlineStr">
        <is>
          <t>mark@summerlinmechanicalservicesllc.com</t>
        </is>
      </c>
      <c r="G373" s="8" t="inlineStr">
        <is>
          <t>702-555-3470</t>
        </is>
      </c>
      <c r="H373" s="9" t="inlineStr">
        <is>
          <t>DOT28004</t>
        </is>
      </c>
      <c r="I373" s="11" t="n">
        <v>0.348</v>
      </c>
      <c r="J373" s="8" t="inlineStr">
        <is>
          <t>Express Engine Bay Hose Thermal Crack Hazard</t>
        </is>
      </c>
      <c r="K373" s="9" t="inlineStr">
        <is>
          <t>Warm Prospect</t>
        </is>
      </c>
      <c r="L373" s="12">
        <f>IF(C373&gt;0, 99 + (C373 * 2.5), 0)</f>
        <v/>
      </c>
    </row>
    <row r="374">
      <c r="A374" s="13" t="inlineStr">
        <is>
          <t>Las Vegas Wiring Solutions Inc</t>
        </is>
      </c>
      <c r="B374" s="14" t="inlineStr">
        <is>
          <t>Electrical Services</t>
        </is>
      </c>
      <c r="C374" s="15" t="n">
        <v>56</v>
      </c>
      <c r="D374" s="13" t="inlineStr">
        <is>
          <t>Ram ProMaster 2500</t>
        </is>
      </c>
      <c r="E374" s="13" t="inlineStr">
        <is>
          <t>James Thomas</t>
        </is>
      </c>
      <c r="F374" s="13" t="inlineStr">
        <is>
          <t>james@lasvegaswiringsolutionsinc.com</t>
        </is>
      </c>
      <c r="G374" s="13" t="inlineStr">
        <is>
          <t>702-555-6449</t>
        </is>
      </c>
      <c r="H374" s="14" t="inlineStr">
        <is>
          <t>DOT92710</t>
        </is>
      </c>
      <c r="I374" s="16" t="n">
        <v>0.346</v>
      </c>
      <c r="J374" s="13" t="inlineStr">
        <is>
          <t>ProMaster Brake Line Rubbing Collision Abrasion Leak</t>
        </is>
      </c>
      <c r="K374" s="14" t="inlineStr">
        <is>
          <t>Warm Prospect</t>
        </is>
      </c>
      <c r="L374" s="17">
        <f>IF(C374&gt;0, 99 + (C374 * 2.5), 0)</f>
        <v/>
      </c>
    </row>
    <row r="375">
      <c r="A375" s="8" t="inlineStr">
        <is>
          <t>Silver State Shuttles LLC</t>
        </is>
      </c>
      <c r="B375" s="9" t="inlineStr">
        <is>
          <t>Boutique Transit</t>
        </is>
      </c>
      <c r="C375" s="10" t="n">
        <v>63</v>
      </c>
      <c r="D375" s="8" t="inlineStr">
        <is>
          <t>Mercedes-Benz Sprinter 3500</t>
        </is>
      </c>
      <c r="E375" s="8" t="inlineStr">
        <is>
          <t>William Jackson</t>
        </is>
      </c>
      <c r="F375" s="8" t="inlineStr">
        <is>
          <t>william@silverstateshuttlesllc.com</t>
        </is>
      </c>
      <c r="G375" s="8" t="inlineStr">
        <is>
          <t>702-555-3595</t>
        </is>
      </c>
      <c r="H375" s="9" t="inlineStr">
        <is>
          <t>DOT74169</t>
        </is>
      </c>
      <c r="I375" s="11" t="n">
        <v>0.283</v>
      </c>
      <c r="J375" s="8" t="inlineStr">
        <is>
          <t>Sprinter AC Comp Condensation Drain Backup Wiring Short</t>
        </is>
      </c>
      <c r="K375" s="9" t="inlineStr">
        <is>
          <t>Warm Prospect</t>
        </is>
      </c>
      <c r="L375" s="12">
        <f>IF(C375&gt;0, 99 + (C375 * 2.5), 0)</f>
        <v/>
      </c>
    </row>
    <row r="376">
      <c r="A376" s="13" t="inlineStr">
        <is>
          <t>Las Vegas Comfort Heating Group</t>
        </is>
      </c>
      <c r="B376" s="14" t="inlineStr">
        <is>
          <t>HVAC/Plumbing</t>
        </is>
      </c>
      <c r="C376" s="15" t="n">
        <v>113</v>
      </c>
      <c r="D376" s="13" t="inlineStr">
        <is>
          <t>GMC Savana 2500</t>
        </is>
      </c>
      <c r="E376" s="13" t="inlineStr">
        <is>
          <t>Mark Thomas</t>
        </is>
      </c>
      <c r="F376" s="13" t="inlineStr">
        <is>
          <t>mark@lasvegascomfortheatinggroup.com</t>
        </is>
      </c>
      <c r="G376" s="13" t="inlineStr">
        <is>
          <t>702-555-7280</t>
        </is>
      </c>
      <c r="H376" s="14" t="inlineStr">
        <is>
          <t>DOT10611</t>
        </is>
      </c>
      <c r="I376" s="16" t="n">
        <v>0.052</v>
      </c>
      <c r="J376" s="13" t="inlineStr">
        <is>
          <t>Savana Desert Fuel Line Seal Degradation Failure</t>
        </is>
      </c>
      <c r="K376" s="14" t="inlineStr">
        <is>
          <t>Warm Prospect</t>
        </is>
      </c>
      <c r="L376" s="17">
        <f>IF(C376&gt;0, 99 + (C376 * 2.5), 0)</f>
        <v/>
      </c>
    </row>
    <row r="377">
      <c r="A377" s="8" t="inlineStr">
        <is>
          <t>Valley Shuttles LLC</t>
        </is>
      </c>
      <c r="B377" s="9" t="inlineStr">
        <is>
          <t>Boutique Transit</t>
        </is>
      </c>
      <c r="C377" s="10" t="n">
        <v>58</v>
      </c>
      <c r="D377" s="8" t="inlineStr">
        <is>
          <t>Ford Transit 350</t>
        </is>
      </c>
      <c r="E377" s="8" t="inlineStr">
        <is>
          <t>John Smith</t>
        </is>
      </c>
      <c r="F377" s="8" t="inlineStr">
        <is>
          <t>john@valleyshuttlesllc.com</t>
        </is>
      </c>
      <c r="G377" s="8" t="inlineStr">
        <is>
          <t>702-555-5076</t>
        </is>
      </c>
      <c r="H377" s="9" t="inlineStr">
        <is>
          <t>DOT39657</t>
        </is>
      </c>
      <c r="I377" s="11" t="n">
        <v>0.255</v>
      </c>
      <c r="J377" s="8" t="inlineStr">
        <is>
          <t>Transit 114°F Electrical Module Overheat Wire Ground Fire Risk</t>
        </is>
      </c>
      <c r="K377" s="9" t="inlineStr">
        <is>
          <t>Warm Prospect</t>
        </is>
      </c>
      <c r="L377" s="12">
        <f>IF(C377&gt;0, 99 + (C377 * 2.5), 0)</f>
        <v/>
      </c>
    </row>
    <row r="378">
      <c r="A378" s="13" t="inlineStr">
        <is>
          <t>Red Rock Electric &amp; Solar LLC</t>
        </is>
      </c>
      <c r="B378" s="14" t="inlineStr">
        <is>
          <t>Electrical Services</t>
        </is>
      </c>
      <c r="C378" s="15" t="n">
        <v>52</v>
      </c>
      <c r="D378" s="13" t="inlineStr">
        <is>
          <t>Ram ProMaster 2500</t>
        </is>
      </c>
      <c r="E378" s="13" t="inlineStr">
        <is>
          <t>James Johnson</t>
        </is>
      </c>
      <c r="F378" s="13" t="inlineStr">
        <is>
          <t>james@redrockelectricsolarllc.com</t>
        </is>
      </c>
      <c r="G378" s="13" t="inlineStr">
        <is>
          <t>702-555-5885</t>
        </is>
      </c>
      <c r="H378" s="14" t="inlineStr">
        <is>
          <t>DOT48119</t>
        </is>
      </c>
      <c r="I378" s="16" t="n">
        <v>0.181</v>
      </c>
      <c r="J378" s="13" t="inlineStr">
        <is>
          <t>ProMaster Brake Line Rubbing Collision Abrasion Leak</t>
        </is>
      </c>
      <c r="K378" s="14" t="inlineStr">
        <is>
          <t>Audit Run</t>
        </is>
      </c>
      <c r="L378" s="17">
        <f>IF(C378&gt;0, 99 + (C378 * 2.5), 0)</f>
        <v/>
      </c>
    </row>
    <row r="379">
      <c r="A379" s="8" t="inlineStr">
        <is>
          <t>High Rise Chauffeurs LLC</t>
        </is>
      </c>
      <c r="B379" s="9" t="inlineStr">
        <is>
          <t>Boutique Transit</t>
        </is>
      </c>
      <c r="C379" s="10" t="n">
        <v>44</v>
      </c>
      <c r="D379" s="8" t="inlineStr">
        <is>
          <t>Ford Transit 350</t>
        </is>
      </c>
      <c r="E379" s="8" t="inlineStr">
        <is>
          <t>Daniel Thomas</t>
        </is>
      </c>
      <c r="F379" s="8" t="inlineStr">
        <is>
          <t>daniel@highrisechauffeursllc.com</t>
        </is>
      </c>
      <c r="G379" s="8" t="inlineStr">
        <is>
          <t>702-555-6885</t>
        </is>
      </c>
      <c r="H379" s="9" t="inlineStr">
        <is>
          <t>DOT34697</t>
        </is>
      </c>
      <c r="I379" s="11" t="n">
        <v>0.091</v>
      </c>
      <c r="J379" s="8" t="inlineStr">
        <is>
          <t>Transit 114°F Electrical Module Overheat Wire Ground Fire Risk</t>
        </is>
      </c>
      <c r="K379" s="9" t="inlineStr">
        <is>
          <t>Warm Prospect</t>
        </is>
      </c>
      <c r="L379" s="12">
        <f>IF(C379&gt;0, 99 + (C379 * 2.5), 0)</f>
        <v/>
      </c>
    </row>
    <row r="380">
      <c r="A380" s="13" t="inlineStr">
        <is>
          <t>Sunset Plumbing &amp; Drain Group</t>
        </is>
      </c>
      <c r="B380" s="14" t="inlineStr">
        <is>
          <t>HVAC/Plumbing</t>
        </is>
      </c>
      <c r="C380" s="15" t="n">
        <v>64</v>
      </c>
      <c r="D380" s="13" t="inlineStr">
        <is>
          <t>Ford Transit 350</t>
        </is>
      </c>
      <c r="E380" s="13" t="inlineStr">
        <is>
          <t>John Jackson</t>
        </is>
      </c>
      <c r="F380" s="13" t="inlineStr">
        <is>
          <t>john@sunsetplumbingdraingroup.com</t>
        </is>
      </c>
      <c r="G380" s="13" t="inlineStr">
        <is>
          <t>702-555-9267</t>
        </is>
      </c>
      <c r="H380" s="14" t="inlineStr">
        <is>
          <t>DOT32149</t>
        </is>
      </c>
      <c r="I380" s="16" t="n">
        <v>0.078</v>
      </c>
      <c r="J380" s="13" t="inlineStr">
        <is>
          <t>Transit 114°F Electrical Module Overheat Wire Ground Fire Risk</t>
        </is>
      </c>
      <c r="K380" s="14" t="inlineStr">
        <is>
          <t>Warm Prospect</t>
        </is>
      </c>
      <c r="L380" s="17">
        <f>IF(C380&gt;0, 99 + (C380 * 2.5), 0)</f>
        <v/>
      </c>
    </row>
    <row r="381">
      <c r="A381" s="8" t="inlineStr">
        <is>
          <t>Spring Valley Electric Pros LLC</t>
        </is>
      </c>
      <c r="B381" s="9" t="inlineStr">
        <is>
          <t>Electrical Services</t>
        </is>
      </c>
      <c r="C381" s="10" t="n">
        <v>22</v>
      </c>
      <c r="D381" s="8" t="inlineStr">
        <is>
          <t>Chevy Express 2500</t>
        </is>
      </c>
      <c r="E381" s="8" t="inlineStr">
        <is>
          <t>Robert Smith</t>
        </is>
      </c>
      <c r="F381" s="8" t="inlineStr">
        <is>
          <t>robert@springvalleyelectricprosllc.com</t>
        </is>
      </c>
      <c r="G381" s="8" t="inlineStr">
        <is>
          <t>702-555-1790</t>
        </is>
      </c>
      <c r="H381" s="9" t="inlineStr">
        <is>
          <t>DOT25176</t>
        </is>
      </c>
      <c r="I381" s="11" t="n">
        <v>0.169</v>
      </c>
      <c r="J381" s="8" t="inlineStr">
        <is>
          <t>Express Engine Bay Hose Thermal Crack Hazard</t>
        </is>
      </c>
      <c r="K381" s="9" t="inlineStr">
        <is>
          <t>Warm Prospect</t>
        </is>
      </c>
      <c r="L381" s="12">
        <f>IF(C381&gt;0, 99 + (C381 * 2.5), 0)</f>
        <v/>
      </c>
    </row>
    <row r="382">
      <c r="A382" s="13" t="inlineStr">
        <is>
          <t>High Rise HVAC Services LLC</t>
        </is>
      </c>
      <c r="B382" s="14" t="inlineStr">
        <is>
          <t>HVAC/Plumbing</t>
        </is>
      </c>
      <c r="C382" s="15" t="n">
        <v>62</v>
      </c>
      <c r="D382" s="13" t="inlineStr">
        <is>
          <t>Ford Transit 350</t>
        </is>
      </c>
      <c r="E382" s="13" t="inlineStr">
        <is>
          <t>John Martinez</t>
        </is>
      </c>
      <c r="F382" s="13" t="inlineStr">
        <is>
          <t>john@highrisehvacservicesllc.com</t>
        </is>
      </c>
      <c r="G382" s="13" t="inlineStr">
        <is>
          <t>702-555-7895</t>
        </is>
      </c>
      <c r="H382" s="14" t="inlineStr">
        <is>
          <t>DOT96725</t>
        </is>
      </c>
      <c r="I382" s="16" t="n">
        <v>0.07099999999999999</v>
      </c>
      <c r="J382" s="13" t="inlineStr">
        <is>
          <t>Transit 114°F Electrical Module Overheat Wire Ground Fire Risk</t>
        </is>
      </c>
      <c r="K382" s="14" t="inlineStr">
        <is>
          <t>Audit Run</t>
        </is>
      </c>
      <c r="L382" s="17">
        <f>IF(C382&gt;0, 99 + (C382 * 2.5), 0)</f>
        <v/>
      </c>
    </row>
    <row r="383">
      <c r="A383" s="8" t="inlineStr">
        <is>
          <t>Las Vegas Lighting &amp; Power Group</t>
        </is>
      </c>
      <c r="B383" s="9" t="inlineStr">
        <is>
          <t>Electrical Services</t>
        </is>
      </c>
      <c r="C383" s="10" t="n">
        <v>117</v>
      </c>
      <c r="D383" s="8" t="inlineStr">
        <is>
          <t>Chevy Express 3500</t>
        </is>
      </c>
      <c r="E383" s="8" t="inlineStr">
        <is>
          <t>Robert Taylor</t>
        </is>
      </c>
      <c r="F383" s="8" t="inlineStr">
        <is>
          <t>robert@lasvegaslightingpowergroup.com</t>
        </is>
      </c>
      <c r="G383" s="8" t="inlineStr">
        <is>
          <t>702-555-2928</t>
        </is>
      </c>
      <c r="H383" s="9" t="inlineStr">
        <is>
          <t>DOT47054</t>
        </is>
      </c>
      <c r="I383" s="11" t="n">
        <v>0.075</v>
      </c>
      <c r="J383" s="8" t="inlineStr">
        <is>
          <t>Express Engine Bay Hose Thermal Crack Hazard</t>
        </is>
      </c>
      <c r="K383" s="9" t="inlineStr">
        <is>
          <t>Warm Prospect</t>
        </is>
      </c>
      <c r="L383" s="12">
        <f>IF(C383&gt;0, 99 + (C383 * 2.5), 0)</f>
        <v/>
      </c>
    </row>
    <row r="384">
      <c r="A384" s="13" t="inlineStr">
        <is>
          <t>Sunset Lighting &amp; Power Inc</t>
        </is>
      </c>
      <c r="B384" s="14" t="inlineStr">
        <is>
          <t>Electrical Services</t>
        </is>
      </c>
      <c r="C384" s="15" t="n">
        <v>143</v>
      </c>
      <c r="D384" s="13" t="inlineStr">
        <is>
          <t>Ram ProMaster 2500</t>
        </is>
      </c>
      <c r="E384" s="13" t="inlineStr">
        <is>
          <t>Richard Lopez</t>
        </is>
      </c>
      <c r="F384" s="13" t="inlineStr">
        <is>
          <t>richard@sunsetlightingpowerinc.com</t>
        </is>
      </c>
      <c r="G384" s="13" t="inlineStr">
        <is>
          <t>702-555-7713</t>
        </is>
      </c>
      <c r="H384" s="14" t="inlineStr">
        <is>
          <t>DOT48712</t>
        </is>
      </c>
      <c r="I384" s="16" t="n">
        <v>0.09</v>
      </c>
      <c r="J384" s="13" t="inlineStr">
        <is>
          <t>ProMaster Brake Line Rubbing Collision Abrasion Leak</t>
        </is>
      </c>
      <c r="K384" s="14" t="inlineStr">
        <is>
          <t>Audit Run</t>
        </is>
      </c>
      <c r="L384" s="17">
        <f>IF(C384&gt;0, 99 + (C384 * 2.5), 0)</f>
        <v/>
      </c>
    </row>
    <row r="385">
      <c r="A385" s="8" t="inlineStr">
        <is>
          <t>Spring Valley Power Systems Group</t>
        </is>
      </c>
      <c r="B385" s="9" t="inlineStr">
        <is>
          <t>Electrical Services</t>
        </is>
      </c>
      <c r="C385" s="10" t="n">
        <v>94</v>
      </c>
      <c r="D385" s="8" t="inlineStr">
        <is>
          <t>Ram ProMaster 1500</t>
        </is>
      </c>
      <c r="E385" s="8" t="inlineStr">
        <is>
          <t>Thomas Smith</t>
        </is>
      </c>
      <c r="F385" s="8" t="inlineStr">
        <is>
          <t>thomas@springvalleypowersystemsgroup.com</t>
        </is>
      </c>
      <c r="G385" s="8" t="inlineStr">
        <is>
          <t>702-555-1208</t>
        </is>
      </c>
      <c r="H385" s="9" t="inlineStr">
        <is>
          <t>DOT98032</t>
        </is>
      </c>
      <c r="I385" s="11" t="n">
        <v>0.068</v>
      </c>
      <c r="J385" s="8" t="inlineStr">
        <is>
          <t>ProMaster Brake Line Rubbing Collision Abrasion Leak</t>
        </is>
      </c>
      <c r="K385" s="9" t="inlineStr">
        <is>
          <t>Warm Prospect</t>
        </is>
      </c>
      <c r="L385" s="12">
        <f>IF(C385&gt;0, 99 + (C385 * 2.5), 0)</f>
        <v/>
      </c>
    </row>
    <row r="386">
      <c r="A386" s="13" t="inlineStr">
        <is>
          <t>Vegas Valley Tours &amp; Transit Inc</t>
        </is>
      </c>
      <c r="B386" s="14" t="inlineStr">
        <is>
          <t>Boutique Transit</t>
        </is>
      </c>
      <c r="C386" s="15" t="n">
        <v>140</v>
      </c>
      <c r="D386" s="13" t="inlineStr">
        <is>
          <t>Mercedes-Benz Sprinter 2500</t>
        </is>
      </c>
      <c r="E386" s="13" t="inlineStr">
        <is>
          <t>James Brown</t>
        </is>
      </c>
      <c r="F386" s="13" t="inlineStr">
        <is>
          <t>james@vegasvalleytourstransitinc.com</t>
        </is>
      </c>
      <c r="G386" s="13" t="inlineStr">
        <is>
          <t>702-555-5192</t>
        </is>
      </c>
      <c r="H386" s="14" t="inlineStr">
        <is>
          <t>DOT94454</t>
        </is>
      </c>
      <c r="I386" s="16" t="n">
        <v>0.112</v>
      </c>
      <c r="J386" s="13" t="inlineStr">
        <is>
          <t>Sprinter AC Comp Condensation Drain Backup Wiring Short</t>
        </is>
      </c>
      <c r="K386" s="14" t="inlineStr">
        <is>
          <t>Warm Prospect</t>
        </is>
      </c>
      <c r="L386" s="17">
        <f>IF(C386&gt;0, 99 + (C386 * 2.5), 0)</f>
        <v/>
      </c>
    </row>
    <row r="387">
      <c r="A387" s="8" t="inlineStr">
        <is>
          <t>First Choice Electric &amp; Solar Inc</t>
        </is>
      </c>
      <c r="B387" s="9" t="inlineStr">
        <is>
          <t>Electrical Services</t>
        </is>
      </c>
      <c r="C387" s="10" t="n">
        <v>20</v>
      </c>
      <c r="D387" s="8" t="inlineStr">
        <is>
          <t>Chevy Express 3500</t>
        </is>
      </c>
      <c r="E387" s="8" t="inlineStr">
        <is>
          <t>Christopher Lopez</t>
        </is>
      </c>
      <c r="F387" s="8" t="inlineStr">
        <is>
          <t>christopher@firstchoiceelectricsolarinc.com</t>
        </is>
      </c>
      <c r="G387" s="8" t="inlineStr">
        <is>
          <t>702-555-6123</t>
        </is>
      </c>
      <c r="H387" s="9" t="inlineStr">
        <is>
          <t>DOT65836</t>
        </is>
      </c>
      <c r="I387" s="11" t="n">
        <v>0.269</v>
      </c>
      <c r="J387" s="8" t="inlineStr">
        <is>
          <t>Express Engine Bay Hose Thermal Crack Hazard</t>
        </is>
      </c>
      <c r="K387" s="9" t="inlineStr">
        <is>
          <t>Warm Prospect</t>
        </is>
      </c>
      <c r="L387" s="12">
        <f>IF(C387&gt;0, 99 + (C387 * 2.5), 0)</f>
        <v/>
      </c>
    </row>
    <row r="388">
      <c r="A388" s="13" t="inlineStr">
        <is>
          <t>Silver State Plumbing &amp; Drain Group</t>
        </is>
      </c>
      <c r="B388" s="14" t="inlineStr">
        <is>
          <t>HVAC/Plumbing</t>
        </is>
      </c>
      <c r="C388" s="15" t="n">
        <v>94</v>
      </c>
      <c r="D388" s="13" t="inlineStr">
        <is>
          <t>Ford Transit 350</t>
        </is>
      </c>
      <c r="E388" s="13" t="inlineStr">
        <is>
          <t>Matthew Anderson</t>
        </is>
      </c>
      <c r="F388" s="13" t="inlineStr">
        <is>
          <t>matthew@silverstateplumbingdraingroup.com</t>
        </is>
      </c>
      <c r="G388" s="13" t="inlineStr">
        <is>
          <t>702-555-5395</t>
        </is>
      </c>
      <c r="H388" s="14" t="inlineStr">
        <is>
          <t>DOT22183</t>
        </is>
      </c>
      <c r="I388" s="16" t="n">
        <v>0.156</v>
      </c>
      <c r="J388" s="13" t="inlineStr">
        <is>
          <t>Transit 114°F Electrical Module Overheat Wire Ground Fire Risk</t>
        </is>
      </c>
      <c r="K388" s="14" t="inlineStr">
        <is>
          <t>Warm Prospect</t>
        </is>
      </c>
      <c r="L388" s="17">
        <f>IF(C388&gt;0, 99 + (C388 * 2.5), 0)</f>
        <v/>
      </c>
    </row>
    <row r="389">
      <c r="A389" s="8" t="inlineStr">
        <is>
          <t>Apex Comfort Heating LLC</t>
        </is>
      </c>
      <c r="B389" s="9" t="inlineStr">
        <is>
          <t>HVAC/Plumbing</t>
        </is>
      </c>
      <c r="C389" s="10" t="n">
        <v>79</v>
      </c>
      <c r="D389" s="8" t="inlineStr">
        <is>
          <t>GMC Savana 2500</t>
        </is>
      </c>
      <c r="E389" s="8" t="inlineStr">
        <is>
          <t>Anthony Thomas</t>
        </is>
      </c>
      <c r="F389" s="8" t="inlineStr">
        <is>
          <t>anthony@apexcomfortheatingllc.com</t>
        </is>
      </c>
      <c r="G389" s="8" t="inlineStr">
        <is>
          <t>702-555-7909</t>
        </is>
      </c>
      <c r="H389" s="9" t="inlineStr">
        <is>
          <t>DOT95045</t>
        </is>
      </c>
      <c r="I389" s="11" t="n">
        <v>0.315</v>
      </c>
      <c r="J389" s="8" t="inlineStr">
        <is>
          <t>Savana Desert Fuel Line Seal Degradation Failure</t>
        </is>
      </c>
      <c r="K389" s="9" t="inlineStr">
        <is>
          <t>Warm Prospect</t>
        </is>
      </c>
      <c r="L389" s="12">
        <f>IF(C389&gt;0, 99 + (C389 * 2.5), 0)</f>
        <v/>
      </c>
    </row>
    <row r="390">
      <c r="A390" s="13" t="inlineStr">
        <is>
          <t>Red Rock Mechanical Services Group</t>
        </is>
      </c>
      <c r="B390" s="14" t="inlineStr">
        <is>
          <t>HVAC/Plumbing</t>
        </is>
      </c>
      <c r="C390" s="15" t="n">
        <v>50</v>
      </c>
      <c r="D390" s="13" t="inlineStr">
        <is>
          <t>Ford Transit 250</t>
        </is>
      </c>
      <c r="E390" s="13" t="inlineStr">
        <is>
          <t>Robert Wilson</t>
        </is>
      </c>
      <c r="F390" s="13" t="inlineStr">
        <is>
          <t>robert@redrockmechanicalservicesgroup.com</t>
        </is>
      </c>
      <c r="G390" s="13" t="inlineStr">
        <is>
          <t>702-555-8908</t>
        </is>
      </c>
      <c r="H390" s="14" t="inlineStr">
        <is>
          <t>DOT84572</t>
        </is>
      </c>
      <c r="I390" s="16" t="n">
        <v>0.25</v>
      </c>
      <c r="J390" s="13" t="inlineStr">
        <is>
          <t>Transit 114°F Electrical Module Overheat Wire Ground Fire Risk</t>
        </is>
      </c>
      <c r="K390" s="14" t="inlineStr">
        <is>
          <t>Warm Prospect</t>
        </is>
      </c>
      <c r="L390" s="17">
        <f>IF(C390&gt;0, 99 + (C390 * 2.5), 0)</f>
        <v/>
      </c>
    </row>
    <row r="391">
      <c r="A391" s="8" t="inlineStr">
        <is>
          <t>Titan Chauffeurs Group</t>
        </is>
      </c>
      <c r="B391" s="9" t="inlineStr">
        <is>
          <t>Boutique Transit</t>
        </is>
      </c>
      <c r="C391" s="10" t="n">
        <v>43</v>
      </c>
      <c r="D391" s="8" t="inlineStr">
        <is>
          <t>Mercedes-Benz Sprinter 2500</t>
        </is>
      </c>
      <c r="E391" s="8" t="inlineStr">
        <is>
          <t>Steven Thomas</t>
        </is>
      </c>
      <c r="F391" s="8" t="inlineStr">
        <is>
          <t>steven@titanchauffeursgroup.com</t>
        </is>
      </c>
      <c r="G391" s="8" t="inlineStr">
        <is>
          <t>702-555-2850</t>
        </is>
      </c>
      <c r="H391" s="9" t="inlineStr">
        <is>
          <t>DOT63907</t>
        </is>
      </c>
      <c r="I391" s="11" t="n">
        <v>0.177</v>
      </c>
      <c r="J391" s="8" t="inlineStr">
        <is>
          <t>Sprinter AC Comp Condensation Drain Backup Wiring Short</t>
        </is>
      </c>
      <c r="K391" s="9" t="inlineStr">
        <is>
          <t>Warm Prospect</t>
        </is>
      </c>
      <c r="L391" s="12">
        <f>IF(C391&gt;0, 99 + (C391 * 2.5), 0)</f>
        <v/>
      </c>
    </row>
    <row r="392">
      <c r="A392" s="13" t="inlineStr">
        <is>
          <t>Vegas Valley Electrical Contractors Inc</t>
        </is>
      </c>
      <c r="B392" s="14" t="inlineStr">
        <is>
          <t>Electrical Services</t>
        </is>
      </c>
      <c r="C392" s="15" t="n">
        <v>96</v>
      </c>
      <c r="D392" s="13" t="inlineStr">
        <is>
          <t>Chevy Express 3500</t>
        </is>
      </c>
      <c r="E392" s="13" t="inlineStr">
        <is>
          <t>Paul Taylor</t>
        </is>
      </c>
      <c r="F392" s="13" t="inlineStr">
        <is>
          <t>paul@vegasvalleyelectricalcontractorsinc.com</t>
        </is>
      </c>
      <c r="G392" s="13" t="inlineStr">
        <is>
          <t>702-555-2560</t>
        </is>
      </c>
      <c r="H392" s="14" t="inlineStr">
        <is>
          <t>DOT66734</t>
        </is>
      </c>
      <c r="I392" s="16" t="n">
        <v>0.245</v>
      </c>
      <c r="J392" s="13" t="inlineStr">
        <is>
          <t>Express Engine Bay Hose Thermal Crack Hazard</t>
        </is>
      </c>
      <c r="K392" s="14" t="inlineStr">
        <is>
          <t>Warm Prospect</t>
        </is>
      </c>
      <c r="L392" s="17">
        <f>IF(C392&gt;0, 99 + (C392 * 2.5), 0)</f>
        <v/>
      </c>
    </row>
    <row r="393">
      <c r="A393" s="8" t="inlineStr">
        <is>
          <t>Valley Electric Pros Group</t>
        </is>
      </c>
      <c r="B393" s="9" t="inlineStr">
        <is>
          <t>Electrical Services</t>
        </is>
      </c>
      <c r="C393" s="10" t="n">
        <v>48</v>
      </c>
      <c r="D393" s="8" t="inlineStr">
        <is>
          <t>Ram ProMaster 1500</t>
        </is>
      </c>
      <c r="E393" s="8" t="inlineStr">
        <is>
          <t>Andrew Martin</t>
        </is>
      </c>
      <c r="F393" s="8" t="inlineStr">
        <is>
          <t>andrew@valleyelectricprosgroup.com</t>
        </is>
      </c>
      <c r="G393" s="8" t="inlineStr">
        <is>
          <t>702-555-1894</t>
        </is>
      </c>
      <c r="H393" s="9" t="inlineStr">
        <is>
          <t>DOT11526</t>
        </is>
      </c>
      <c r="I393" s="11" t="n">
        <v>0.239</v>
      </c>
      <c r="J393" s="8" t="inlineStr">
        <is>
          <t>ProMaster Brake Line Rubbing Collision Abrasion Leak</t>
        </is>
      </c>
      <c r="K393" s="9" t="inlineStr">
        <is>
          <t>Warm Prospect</t>
        </is>
      </c>
      <c r="L393" s="12">
        <f>IF(C393&gt;0, 99 + (C393 * 2.5), 0)</f>
        <v/>
      </c>
    </row>
    <row r="394">
      <c r="A394" s="13" t="inlineStr">
        <is>
          <t>Summerlin Tours &amp; Transit LLC</t>
        </is>
      </c>
      <c r="B394" s="14" t="inlineStr">
        <is>
          <t>Boutique Transit</t>
        </is>
      </c>
      <c r="C394" s="15" t="n">
        <v>29</v>
      </c>
      <c r="D394" s="13" t="inlineStr">
        <is>
          <t>Mercedes-Benz Sprinter 2500</t>
        </is>
      </c>
      <c r="E394" s="13" t="inlineStr">
        <is>
          <t>Steven Hernandez</t>
        </is>
      </c>
      <c r="F394" s="13" t="inlineStr">
        <is>
          <t>steven@summerlintourstransitllc.com</t>
        </is>
      </c>
      <c r="G394" s="13" t="inlineStr">
        <is>
          <t>702-555-4946</t>
        </is>
      </c>
      <c r="H394" s="14" t="inlineStr">
        <is>
          <t>DOT53371</t>
        </is>
      </c>
      <c r="I394" s="16" t="n">
        <v>0.341</v>
      </c>
      <c r="J394" s="13" t="inlineStr">
        <is>
          <t>Sprinter AC Comp Condensation Drain Backup Wiring Short</t>
        </is>
      </c>
      <c r="K394" s="14" t="inlineStr">
        <is>
          <t>Warm Prospect</t>
        </is>
      </c>
      <c r="L394" s="17">
        <f>IF(C394&gt;0, 99 + (C394 * 2.5), 0)</f>
        <v/>
      </c>
    </row>
    <row r="395">
      <c r="A395" s="8" t="inlineStr">
        <is>
          <t>Sunset Logistics Group</t>
        </is>
      </c>
      <c r="B395" s="9" t="inlineStr">
        <is>
          <t>Boutique Transit</t>
        </is>
      </c>
      <c r="C395" s="10" t="n">
        <v>113</v>
      </c>
      <c r="D395" s="8" t="inlineStr">
        <is>
          <t>Mercedes-Benz Sprinter 3500</t>
        </is>
      </c>
      <c r="E395" s="8" t="inlineStr">
        <is>
          <t>Thomas Williams</t>
        </is>
      </c>
      <c r="F395" s="8" t="inlineStr">
        <is>
          <t>thomas@sunsetlogisticsgroup.com</t>
        </is>
      </c>
      <c r="G395" s="8" t="inlineStr">
        <is>
          <t>702-555-8521</t>
        </is>
      </c>
      <c r="H395" s="9" t="inlineStr">
        <is>
          <t>DOT68220</t>
        </is>
      </c>
      <c r="I395" s="11" t="n">
        <v>0.288</v>
      </c>
      <c r="J395" s="8" t="inlineStr">
        <is>
          <t>Sprinter AC Comp Condensation Drain Backup Wiring Short</t>
        </is>
      </c>
      <c r="K395" s="9" t="inlineStr">
        <is>
          <t>Warm Prospect</t>
        </is>
      </c>
      <c r="L395" s="12">
        <f>IF(C395&gt;0, 99 + (C395 * 2.5), 0)</f>
        <v/>
      </c>
    </row>
    <row r="396">
      <c r="A396" s="13" t="inlineStr">
        <is>
          <t>Summerlin Comfort Heating LLC</t>
        </is>
      </c>
      <c r="B396" s="14" t="inlineStr">
        <is>
          <t>HVAC/Plumbing</t>
        </is>
      </c>
      <c r="C396" s="15" t="n">
        <v>40</v>
      </c>
      <c r="D396" s="13" t="inlineStr">
        <is>
          <t>Ford Transit 150</t>
        </is>
      </c>
      <c r="E396" s="13" t="inlineStr">
        <is>
          <t>Steven Smith</t>
        </is>
      </c>
      <c r="F396" s="13" t="inlineStr">
        <is>
          <t>steven@summerlincomfortheatingllc.com</t>
        </is>
      </c>
      <c r="G396" s="13" t="inlineStr">
        <is>
          <t>702-555-2681</t>
        </is>
      </c>
      <c r="H396" s="14" t="inlineStr">
        <is>
          <t>DOT62879</t>
        </is>
      </c>
      <c r="I396" s="16" t="n">
        <v>0.168</v>
      </c>
      <c r="J396" s="13" t="inlineStr">
        <is>
          <t>Transit 114°F Electrical Module Overheat Wire Ground Fire Risk</t>
        </is>
      </c>
      <c r="K396" s="14" t="inlineStr">
        <is>
          <t>Audit Run</t>
        </is>
      </c>
      <c r="L396" s="17">
        <f>IF(C396&gt;0, 99 + (C396 * 2.5), 0)</f>
        <v/>
      </c>
    </row>
    <row r="397">
      <c r="A397" s="8" t="inlineStr">
        <is>
          <t>Silver State Shuttles Group</t>
        </is>
      </c>
      <c r="B397" s="9" t="inlineStr">
        <is>
          <t>Boutique Transit</t>
        </is>
      </c>
      <c r="C397" s="10" t="n">
        <v>87</v>
      </c>
      <c r="D397" s="8" t="inlineStr">
        <is>
          <t>Ford Transit 350</t>
        </is>
      </c>
      <c r="E397" s="8" t="inlineStr">
        <is>
          <t>Paul Moore</t>
        </is>
      </c>
      <c r="F397" s="8" t="inlineStr">
        <is>
          <t>paul@silverstateshuttlesgroup.com</t>
        </is>
      </c>
      <c r="G397" s="8" t="inlineStr">
        <is>
          <t>702-555-4389</t>
        </is>
      </c>
      <c r="H397" s="9" t="inlineStr">
        <is>
          <t>DOT95799</t>
        </is>
      </c>
      <c r="I397" s="11" t="n">
        <v>0.248</v>
      </c>
      <c r="J397" s="8" t="inlineStr">
        <is>
          <t>Transit 114°F Electrical Module Overheat Wire Ground Fire Risk</t>
        </is>
      </c>
      <c r="K397" s="9" t="inlineStr">
        <is>
          <t>Warm Prospect</t>
        </is>
      </c>
      <c r="L397" s="12">
        <f>IF(C397&gt;0, 99 + (C397 * 2.5), 0)</f>
        <v/>
      </c>
    </row>
    <row r="398">
      <c r="A398" s="13" t="inlineStr">
        <is>
          <t>Summerlin Electric &amp; Solar Inc</t>
        </is>
      </c>
      <c r="B398" s="14" t="inlineStr">
        <is>
          <t>Electrical Services</t>
        </is>
      </c>
      <c r="C398" s="15" t="n">
        <v>94</v>
      </c>
      <c r="D398" s="13" t="inlineStr">
        <is>
          <t>Ram ProMaster 1500</t>
        </is>
      </c>
      <c r="E398" s="13" t="inlineStr">
        <is>
          <t>Andrew Martin</t>
        </is>
      </c>
      <c r="F398" s="13" t="inlineStr">
        <is>
          <t>andrew@summerlinelectricsolarinc.com</t>
        </is>
      </c>
      <c r="G398" s="13" t="inlineStr">
        <is>
          <t>702-555-8751</t>
        </is>
      </c>
      <c r="H398" s="14" t="inlineStr">
        <is>
          <t>DOT96136</t>
        </is>
      </c>
      <c r="I398" s="16" t="n">
        <v>0.153</v>
      </c>
      <c r="J398" s="13" t="inlineStr">
        <is>
          <t>ProMaster Brake Line Rubbing Collision Abrasion Leak</t>
        </is>
      </c>
      <c r="K398" s="14" t="inlineStr">
        <is>
          <t>Warm Prospect</t>
        </is>
      </c>
      <c r="L398" s="17">
        <f>IF(C398&gt;0, 99 + (C398 * 2.5), 0)</f>
        <v/>
      </c>
    </row>
    <row r="399">
      <c r="A399" s="8" t="inlineStr">
        <is>
          <t>Apex Mechanical Services Inc</t>
        </is>
      </c>
      <c r="B399" s="9" t="inlineStr">
        <is>
          <t>HVAC/Plumbing</t>
        </is>
      </c>
      <c r="C399" s="10" t="n">
        <v>97</v>
      </c>
      <c r="D399" s="8" t="inlineStr">
        <is>
          <t>Ford Transit 250</t>
        </is>
      </c>
      <c r="E399" s="8" t="inlineStr">
        <is>
          <t>Matthew Martinez</t>
        </is>
      </c>
      <c r="F399" s="8" t="inlineStr">
        <is>
          <t>matthew@apexmechanicalservicesinc.com</t>
        </is>
      </c>
      <c r="G399" s="8" t="inlineStr">
        <is>
          <t>702-555-9973</t>
        </is>
      </c>
      <c r="H399" s="9" t="inlineStr">
        <is>
          <t>DOT78417</t>
        </is>
      </c>
      <c r="I399" s="11" t="n">
        <v>0.156</v>
      </c>
      <c r="J399" s="8" t="inlineStr">
        <is>
          <t>Transit 114°F Electrical Module Overheat Wire Ground Fire Risk</t>
        </is>
      </c>
      <c r="K399" s="9" t="inlineStr">
        <is>
          <t>Warm Prospect</t>
        </is>
      </c>
      <c r="L399" s="12">
        <f>IF(C399&gt;0, 99 + (C399 * 2.5), 0)</f>
        <v/>
      </c>
    </row>
    <row r="400">
      <c r="A400" s="13" t="inlineStr">
        <is>
          <t>Spring Valley Plumbing &amp; Drain LLC</t>
        </is>
      </c>
      <c r="B400" s="14" t="inlineStr">
        <is>
          <t>HVAC/Plumbing</t>
        </is>
      </c>
      <c r="C400" s="15" t="n">
        <v>114</v>
      </c>
      <c r="D400" s="13" t="inlineStr">
        <is>
          <t>Ford Transit 350</t>
        </is>
      </c>
      <c r="E400" s="13" t="inlineStr">
        <is>
          <t>Robert Rodriguez</t>
        </is>
      </c>
      <c r="F400" s="13" t="inlineStr">
        <is>
          <t>robert@springvalleyplumbingdrainllc.com</t>
        </is>
      </c>
      <c r="G400" s="13" t="inlineStr">
        <is>
          <t>702-555-4209</t>
        </is>
      </c>
      <c r="H400" s="14" t="inlineStr">
        <is>
          <t>DOT34581</t>
        </is>
      </c>
      <c r="I400" s="16" t="n">
        <v>0.077</v>
      </c>
      <c r="J400" s="13" t="inlineStr">
        <is>
          <t>Transit 114°F Electrical Module Overheat Wire Ground Fire Risk</t>
        </is>
      </c>
      <c r="K400" s="14" t="inlineStr">
        <is>
          <t>Warm Prospect</t>
        </is>
      </c>
      <c r="L400" s="17">
        <f>IF(C400&gt;0, 99 + (C400 * 2.5), 0)</f>
        <v/>
      </c>
    </row>
    <row r="401">
      <c r="A401" s="8" t="inlineStr">
        <is>
          <t>First Choice Plumbing &amp; Drain Group</t>
        </is>
      </c>
      <c r="B401" s="9" t="inlineStr">
        <is>
          <t>HVAC/Plumbing</t>
        </is>
      </c>
      <c r="C401" s="10" t="n">
        <v>37</v>
      </c>
      <c r="D401" s="8" t="inlineStr">
        <is>
          <t>Ford Transit 150</t>
        </is>
      </c>
      <c r="E401" s="8" t="inlineStr">
        <is>
          <t>Mark Johnson</t>
        </is>
      </c>
      <c r="F401" s="8" t="inlineStr">
        <is>
          <t>mark@firstchoiceplumbingdraingroup.com</t>
        </is>
      </c>
      <c r="G401" s="8" t="inlineStr">
        <is>
          <t>702-555-3018</t>
        </is>
      </c>
      <c r="H401" s="9" t="inlineStr">
        <is>
          <t>DOT69048</t>
        </is>
      </c>
      <c r="I401" s="11" t="n">
        <v>0.182</v>
      </c>
      <c r="J401" s="8" t="inlineStr">
        <is>
          <t>Transit 114°F Electrical Module Overheat Wire Ground Fire Risk</t>
        </is>
      </c>
      <c r="K401" s="9" t="inlineStr">
        <is>
          <t>Audit Run</t>
        </is>
      </c>
      <c r="L401" s="12">
        <f>IF(C401&gt;0, 99 + (C401 * 2.5), 0)</f>
        <v/>
      </c>
    </row>
    <row r="402">
      <c r="A402" s="13" t="inlineStr">
        <is>
          <t>Red Rock Tours &amp; Transit Inc</t>
        </is>
      </c>
      <c r="B402" s="14" t="inlineStr">
        <is>
          <t>Boutique Transit</t>
        </is>
      </c>
      <c r="C402" s="15" t="n">
        <v>22</v>
      </c>
      <c r="D402" s="13" t="inlineStr">
        <is>
          <t>Ford Transit 350</t>
        </is>
      </c>
      <c r="E402" s="13" t="inlineStr">
        <is>
          <t>Andrew Wilson</t>
        </is>
      </c>
      <c r="F402" s="13" t="inlineStr">
        <is>
          <t>andrew@redrocktourstransitinc.com</t>
        </is>
      </c>
      <c r="G402" s="13" t="inlineStr">
        <is>
          <t>702-555-8912</t>
        </is>
      </c>
      <c r="H402" s="14" t="inlineStr">
        <is>
          <t>DOT76628</t>
        </is>
      </c>
      <c r="I402" s="16" t="n">
        <v>0.282</v>
      </c>
      <c r="J402" s="13" t="inlineStr">
        <is>
          <t>Transit 114°F Electrical Module Overheat Wire Ground Fire Risk</t>
        </is>
      </c>
      <c r="K402" s="14" t="inlineStr">
        <is>
          <t>Warm Prospect</t>
        </is>
      </c>
      <c r="L402" s="17">
        <f>IF(C402&gt;0, 99 + (C402 * 2.5), 0)</f>
        <v/>
      </c>
    </row>
    <row r="403">
      <c r="A403" s="8" t="inlineStr">
        <is>
          <t>Las Vegas Airport Express Group</t>
        </is>
      </c>
      <c r="B403" s="9" t="inlineStr">
        <is>
          <t>Boutique Transit</t>
        </is>
      </c>
      <c r="C403" s="10" t="n">
        <v>36</v>
      </c>
      <c r="D403" s="8" t="inlineStr">
        <is>
          <t>Mercedes-Benz Sprinter 2500</t>
        </is>
      </c>
      <c r="E403" s="8" t="inlineStr">
        <is>
          <t>Anthony Martin</t>
        </is>
      </c>
      <c r="F403" s="8" t="inlineStr">
        <is>
          <t>anthony@lasvegasairportexpressgroup.com</t>
        </is>
      </c>
      <c r="G403" s="8" t="inlineStr">
        <is>
          <t>702-555-6273</t>
        </is>
      </c>
      <c r="H403" s="9" t="inlineStr">
        <is>
          <t>DOT76074</t>
        </is>
      </c>
      <c r="I403" s="11" t="n">
        <v>0.313</v>
      </c>
      <c r="J403" s="8" t="inlineStr">
        <is>
          <t>Sprinter AC Comp Condensation Drain Backup Wiring Short</t>
        </is>
      </c>
      <c r="K403" s="9" t="inlineStr">
        <is>
          <t>Warm Prospect</t>
        </is>
      </c>
      <c r="L403" s="12">
        <f>IF(C403&gt;0, 99 + (C403 * 2.5), 0)</f>
        <v/>
      </c>
    </row>
    <row r="404">
      <c r="A404" s="13" t="inlineStr">
        <is>
          <t>Spring Valley Charter Buses Inc</t>
        </is>
      </c>
      <c r="B404" s="14" t="inlineStr">
        <is>
          <t>Boutique Transit</t>
        </is>
      </c>
      <c r="C404" s="15" t="n">
        <v>111</v>
      </c>
      <c r="D404" s="13" t="inlineStr">
        <is>
          <t>Mercedes-Benz Sprinter 3500</t>
        </is>
      </c>
      <c r="E404" s="13" t="inlineStr">
        <is>
          <t>Daniel Martinez</t>
        </is>
      </c>
      <c r="F404" s="13" t="inlineStr">
        <is>
          <t>daniel@springvalleycharterbusesinc.com</t>
        </is>
      </c>
      <c r="G404" s="13" t="inlineStr">
        <is>
          <t>702-555-8419</t>
        </is>
      </c>
      <c r="H404" s="14" t="inlineStr">
        <is>
          <t>DOT27481</t>
        </is>
      </c>
      <c r="I404" s="16" t="n">
        <v>0.083</v>
      </c>
      <c r="J404" s="13" t="inlineStr">
        <is>
          <t>Sprinter AC Comp Condensation Drain Backup Wiring Short</t>
        </is>
      </c>
      <c r="K404" s="14" t="inlineStr">
        <is>
          <t>Audit Run</t>
        </is>
      </c>
      <c r="L404" s="17">
        <f>IF(C404&gt;0, 99 + (C404 * 2.5), 0)</f>
        <v/>
      </c>
    </row>
    <row r="405">
      <c r="A405" s="8" t="inlineStr">
        <is>
          <t>Spring Valley Charter Buses Group</t>
        </is>
      </c>
      <c r="B405" s="9" t="inlineStr">
        <is>
          <t>Boutique Transit</t>
        </is>
      </c>
      <c r="C405" s="10" t="n">
        <v>150</v>
      </c>
      <c r="D405" s="8" t="inlineStr">
        <is>
          <t>Mercedes-Benz Sprinter 3500</t>
        </is>
      </c>
      <c r="E405" s="8" t="inlineStr">
        <is>
          <t>Daniel Moore</t>
        </is>
      </c>
      <c r="F405" s="8" t="inlineStr">
        <is>
          <t>daniel@springvalleycharterbusesgroup.com</t>
        </is>
      </c>
      <c r="G405" s="8" t="inlineStr">
        <is>
          <t>702-555-4560</t>
        </is>
      </c>
      <c r="H405" s="9" t="inlineStr">
        <is>
          <t>DOT36330</t>
        </is>
      </c>
      <c r="I405" s="11" t="n">
        <v>0.105</v>
      </c>
      <c r="J405" s="8" t="inlineStr">
        <is>
          <t>Sprinter AC Comp Condensation Drain Backup Wiring Short</t>
        </is>
      </c>
      <c r="K405" s="9" t="inlineStr">
        <is>
          <t>Warm Prospect</t>
        </is>
      </c>
      <c r="L405" s="12">
        <f>IF(C405&gt;0, 99 + (C405 * 2.5), 0)</f>
        <v/>
      </c>
    </row>
    <row r="406">
      <c r="A406" s="13" t="inlineStr">
        <is>
          <t>Valley Charter Buses Inc</t>
        </is>
      </c>
      <c r="B406" s="14" t="inlineStr">
        <is>
          <t>Boutique Transit</t>
        </is>
      </c>
      <c r="C406" s="15" t="n">
        <v>55</v>
      </c>
      <c r="D406" s="13" t="inlineStr">
        <is>
          <t>Ford Transit 350</t>
        </is>
      </c>
      <c r="E406" s="13" t="inlineStr">
        <is>
          <t>Paul Moore</t>
        </is>
      </c>
      <c r="F406" s="13" t="inlineStr">
        <is>
          <t>paul@valleycharterbusesinc.com</t>
        </is>
      </c>
      <c r="G406" s="13" t="inlineStr">
        <is>
          <t>702-555-6281</t>
        </is>
      </c>
      <c r="H406" s="14" t="inlineStr">
        <is>
          <t>DOT25126</t>
        </is>
      </c>
      <c r="I406" s="16" t="n">
        <v>0.276</v>
      </c>
      <c r="J406" s="13" t="inlineStr">
        <is>
          <t>Transit 114°F Electrical Module Overheat Wire Ground Fire Risk</t>
        </is>
      </c>
      <c r="K406" s="14" t="inlineStr">
        <is>
          <t>Audit Run</t>
        </is>
      </c>
      <c r="L406" s="17">
        <f>IF(C406&gt;0, 99 + (C406 * 2.5), 0)</f>
        <v/>
      </c>
    </row>
    <row r="407">
      <c r="A407" s="8" t="inlineStr">
        <is>
          <t>Las Vegas Lighting &amp; Power Group</t>
        </is>
      </c>
      <c r="B407" s="9" t="inlineStr">
        <is>
          <t>Electrical Services</t>
        </is>
      </c>
      <c r="C407" s="10" t="n">
        <v>146</v>
      </c>
      <c r="D407" s="8" t="inlineStr">
        <is>
          <t>Ram ProMaster 1500</t>
        </is>
      </c>
      <c r="E407" s="8" t="inlineStr">
        <is>
          <t>Christopher Wilson</t>
        </is>
      </c>
      <c r="F407" s="8" t="inlineStr">
        <is>
          <t>christopher@lasvegaslightingpowergroup.com</t>
        </is>
      </c>
      <c r="G407" s="8" t="inlineStr">
        <is>
          <t>702-555-1209</t>
        </is>
      </c>
      <c r="H407" s="9" t="inlineStr">
        <is>
          <t>DOT78515</t>
        </is>
      </c>
      <c r="I407" s="11" t="n">
        <v>0.073</v>
      </c>
      <c r="J407" s="8" t="inlineStr">
        <is>
          <t>ProMaster Brake Line Rubbing Collision Abrasion Leak</t>
        </is>
      </c>
      <c r="K407" s="9" t="inlineStr">
        <is>
          <t>Warm Prospect</t>
        </is>
      </c>
      <c r="L407" s="12">
        <f>IF(C407&gt;0, 99 + (C407 * 2.5), 0)</f>
        <v/>
      </c>
    </row>
    <row r="408">
      <c r="A408" s="13" t="inlineStr">
        <is>
          <t>Silver State Mechanical Services Inc</t>
        </is>
      </c>
      <c r="B408" s="14" t="inlineStr">
        <is>
          <t>HVAC/Plumbing</t>
        </is>
      </c>
      <c r="C408" s="15" t="n">
        <v>78</v>
      </c>
      <c r="D408" s="13" t="inlineStr">
        <is>
          <t>Ford Transit 350</t>
        </is>
      </c>
      <c r="E408" s="13" t="inlineStr">
        <is>
          <t>William Martinez</t>
        </is>
      </c>
      <c r="F408" s="13" t="inlineStr">
        <is>
          <t>william@silverstatemechanicalservicesinc.com</t>
        </is>
      </c>
      <c r="G408" s="13" t="inlineStr">
        <is>
          <t>702-555-5105</t>
        </is>
      </c>
      <c r="H408" s="14" t="inlineStr">
        <is>
          <t>DOT29192</t>
        </is>
      </c>
      <c r="I408" s="16" t="n">
        <v>0.3</v>
      </c>
      <c r="J408" s="13" t="inlineStr">
        <is>
          <t>Transit 114°F Electrical Module Overheat Wire Ground Fire Risk</t>
        </is>
      </c>
      <c r="K408" s="14" t="inlineStr">
        <is>
          <t>Warm Prospect</t>
        </is>
      </c>
      <c r="L408" s="17">
        <f>IF(C408&gt;0, 99 + (C408 * 2.5), 0)</f>
        <v/>
      </c>
    </row>
    <row r="409">
      <c r="A409" s="8" t="inlineStr">
        <is>
          <t>Henderson Plumbing Experts Inc</t>
        </is>
      </c>
      <c r="B409" s="9" t="inlineStr">
        <is>
          <t>HVAC/Plumbing</t>
        </is>
      </c>
      <c r="C409" s="10" t="n">
        <v>125</v>
      </c>
      <c r="D409" s="8" t="inlineStr">
        <is>
          <t>Ford Transit 150</t>
        </is>
      </c>
      <c r="E409" s="8" t="inlineStr">
        <is>
          <t>Robert Martin</t>
        </is>
      </c>
      <c r="F409" s="8" t="inlineStr">
        <is>
          <t>robert@hendersonplumbingexpertsinc.com</t>
        </is>
      </c>
      <c r="G409" s="8" t="inlineStr">
        <is>
          <t>702-555-4675</t>
        </is>
      </c>
      <c r="H409" s="9" t="inlineStr">
        <is>
          <t>DOT94819</t>
        </is>
      </c>
      <c r="I409" s="11" t="n">
        <v>0.214</v>
      </c>
      <c r="J409" s="8" t="inlineStr">
        <is>
          <t>Transit 114°F Electrical Module Overheat Wire Ground Fire Risk</t>
        </is>
      </c>
      <c r="K409" s="9" t="inlineStr">
        <is>
          <t>Warm Prospect</t>
        </is>
      </c>
      <c r="L409" s="12">
        <f>IF(C409&gt;0, 99 + (C409 * 2.5), 0)</f>
        <v/>
      </c>
    </row>
    <row r="410">
      <c r="A410" s="13" t="inlineStr">
        <is>
          <t>Henderson Charter Buses LLC</t>
        </is>
      </c>
      <c r="B410" s="14" t="inlineStr">
        <is>
          <t>Boutique Transit</t>
        </is>
      </c>
      <c r="C410" s="15" t="n">
        <v>22</v>
      </c>
      <c r="D410" s="13" t="inlineStr">
        <is>
          <t>Ford Transit 350</t>
        </is>
      </c>
      <c r="E410" s="13" t="inlineStr">
        <is>
          <t>Anthony Gonzalez</t>
        </is>
      </c>
      <c r="F410" s="13" t="inlineStr">
        <is>
          <t>anthony@hendersoncharterbusesllc.com</t>
        </is>
      </c>
      <c r="G410" s="13" t="inlineStr">
        <is>
          <t>702-555-7825</t>
        </is>
      </c>
      <c r="H410" s="14" t="inlineStr">
        <is>
          <t>DOT99803</t>
        </is>
      </c>
      <c r="I410" s="16" t="n">
        <v>0.137</v>
      </c>
      <c r="J410" s="13" t="inlineStr">
        <is>
          <t>Transit 114°F Electrical Module Overheat Wire Ground Fire Risk</t>
        </is>
      </c>
      <c r="K410" s="14" t="inlineStr">
        <is>
          <t>Audit Run</t>
        </is>
      </c>
      <c r="L410" s="17">
        <f>IF(C410&gt;0, 99 + (C410 * 2.5), 0)</f>
        <v/>
      </c>
    </row>
    <row r="411">
      <c r="A411" s="8" t="inlineStr">
        <is>
          <t>Silver State Mechanical Services LLC</t>
        </is>
      </c>
      <c r="B411" s="9" t="inlineStr">
        <is>
          <t>HVAC/Plumbing</t>
        </is>
      </c>
      <c r="C411" s="10" t="n">
        <v>123</v>
      </c>
      <c r="D411" s="8" t="inlineStr">
        <is>
          <t>Ford Transit 350</t>
        </is>
      </c>
      <c r="E411" s="8" t="inlineStr">
        <is>
          <t>Thomas Lopez</t>
        </is>
      </c>
      <c r="F411" s="8" t="inlineStr">
        <is>
          <t>thomas@silverstatemechanicalservicesllc.com</t>
        </is>
      </c>
      <c r="G411" s="8" t="inlineStr">
        <is>
          <t>702-555-9955</t>
        </is>
      </c>
      <c r="H411" s="9" t="inlineStr">
        <is>
          <t>DOT89087</t>
        </is>
      </c>
      <c r="I411" s="11" t="n">
        <v>0.101</v>
      </c>
      <c r="J411" s="8" t="inlineStr">
        <is>
          <t>Transit 114°F Electrical Module Overheat Wire Ground Fire Risk</t>
        </is>
      </c>
      <c r="K411" s="9" t="inlineStr">
        <is>
          <t>Warm Prospect</t>
        </is>
      </c>
      <c r="L411" s="12">
        <f>IF(C411&gt;0, 99 + (C411 * 2.5), 0)</f>
        <v/>
      </c>
    </row>
    <row r="412">
      <c r="A412" s="13" t="inlineStr">
        <is>
          <t>First Choice Power Systems Group</t>
        </is>
      </c>
      <c r="B412" s="14" t="inlineStr">
        <is>
          <t>Electrical Services</t>
        </is>
      </c>
      <c r="C412" s="15" t="n">
        <v>57</v>
      </c>
      <c r="D412" s="13" t="inlineStr">
        <is>
          <t>Chevy Express 2500</t>
        </is>
      </c>
      <c r="E412" s="13" t="inlineStr">
        <is>
          <t>William Taylor</t>
        </is>
      </c>
      <c r="F412" s="13" t="inlineStr">
        <is>
          <t>william@firstchoicepowersystemsgroup.com</t>
        </is>
      </c>
      <c r="G412" s="13" t="inlineStr">
        <is>
          <t>702-555-2955</t>
        </is>
      </c>
      <c r="H412" s="14" t="inlineStr">
        <is>
          <t>DOT59440</t>
        </is>
      </c>
      <c r="I412" s="16" t="n">
        <v>0.053</v>
      </c>
      <c r="J412" s="13" t="inlineStr">
        <is>
          <t>Express Engine Bay Hose Thermal Crack Hazard</t>
        </is>
      </c>
      <c r="K412" s="14" t="inlineStr">
        <is>
          <t>Warm Prospect</t>
        </is>
      </c>
      <c r="L412" s="17">
        <f>IF(C412&gt;0, 99 + (C412 * 2.5), 0)</f>
        <v/>
      </c>
    </row>
    <row r="413">
      <c r="A413" s="8" t="inlineStr">
        <is>
          <t>Mojave Airport Express Inc</t>
        </is>
      </c>
      <c r="B413" s="9" t="inlineStr">
        <is>
          <t>Boutique Transit</t>
        </is>
      </c>
      <c r="C413" s="10" t="n">
        <v>75</v>
      </c>
      <c r="D413" s="8" t="inlineStr">
        <is>
          <t>Ford Transit 350</t>
        </is>
      </c>
      <c r="E413" s="8" t="inlineStr">
        <is>
          <t>John Hernandez</t>
        </is>
      </c>
      <c r="F413" s="8" t="inlineStr">
        <is>
          <t>john@mojaveairportexpressinc.com</t>
        </is>
      </c>
      <c r="G413" s="8" t="inlineStr">
        <is>
          <t>702-555-8640</t>
        </is>
      </c>
      <c r="H413" s="9" t="inlineStr">
        <is>
          <t>DOT30290</t>
        </is>
      </c>
      <c r="I413" s="11" t="n">
        <v>0.052</v>
      </c>
      <c r="J413" s="8" t="inlineStr">
        <is>
          <t>Transit 114°F Electrical Module Overheat Wire Ground Fire Risk</t>
        </is>
      </c>
      <c r="K413" s="9" t="inlineStr">
        <is>
          <t>Warm Prospect</t>
        </is>
      </c>
      <c r="L413" s="12">
        <f>IF(C413&gt;0, 99 + (C413 * 2.5), 0)</f>
        <v/>
      </c>
    </row>
    <row r="414">
      <c r="A414" s="13" t="inlineStr">
        <is>
          <t>Silver State Charter Buses Group</t>
        </is>
      </c>
      <c r="B414" s="14" t="inlineStr">
        <is>
          <t>Boutique Transit</t>
        </is>
      </c>
      <c r="C414" s="15" t="n">
        <v>87</v>
      </c>
      <c r="D414" s="13" t="inlineStr">
        <is>
          <t>Ford Transit 350</t>
        </is>
      </c>
      <c r="E414" s="13" t="inlineStr">
        <is>
          <t>Steven Jackson</t>
        </is>
      </c>
      <c r="F414" s="13" t="inlineStr">
        <is>
          <t>steven@silverstatecharterbusesgroup.com</t>
        </is>
      </c>
      <c r="G414" s="13" t="inlineStr">
        <is>
          <t>702-555-6866</t>
        </is>
      </c>
      <c r="H414" s="14" t="inlineStr">
        <is>
          <t>DOT19552</t>
        </is>
      </c>
      <c r="I414" s="16" t="n">
        <v>0.283</v>
      </c>
      <c r="J414" s="13" t="inlineStr">
        <is>
          <t>Transit 114°F Electrical Module Overheat Wire Ground Fire Risk</t>
        </is>
      </c>
      <c r="K414" s="14" t="inlineStr">
        <is>
          <t>Warm Prospect</t>
        </is>
      </c>
      <c r="L414" s="17">
        <f>IF(C414&gt;0, 99 + (C414 * 2.5), 0)</f>
        <v/>
      </c>
    </row>
    <row r="415">
      <c r="A415" s="8" t="inlineStr">
        <is>
          <t>Sunset Airport Express Group</t>
        </is>
      </c>
      <c r="B415" s="9" t="inlineStr">
        <is>
          <t>Boutique Transit</t>
        </is>
      </c>
      <c r="C415" s="10" t="n">
        <v>139</v>
      </c>
      <c r="D415" s="8" t="inlineStr">
        <is>
          <t>Mercedes-Benz Sprinter 2500</t>
        </is>
      </c>
      <c r="E415" s="8" t="inlineStr">
        <is>
          <t>William Wilson</t>
        </is>
      </c>
      <c r="F415" s="8" t="inlineStr">
        <is>
          <t>william@sunsetairportexpressgroup.com</t>
        </is>
      </c>
      <c r="G415" s="8" t="inlineStr">
        <is>
          <t>702-555-9897</t>
        </is>
      </c>
      <c r="H415" s="9" t="inlineStr">
        <is>
          <t>DOT80390</t>
        </is>
      </c>
      <c r="I415" s="11" t="n">
        <v>0.165</v>
      </c>
      <c r="J415" s="8" t="inlineStr">
        <is>
          <t>Sprinter AC Comp Condensation Drain Backup Wiring Short</t>
        </is>
      </c>
      <c r="K415" s="9" t="inlineStr">
        <is>
          <t>Warm Prospect</t>
        </is>
      </c>
      <c r="L415" s="12">
        <f>IF(C415&gt;0, 99 + (C415 * 2.5), 0)</f>
        <v/>
      </c>
    </row>
    <row r="416">
      <c r="A416" s="13" t="inlineStr">
        <is>
          <t>Spring Valley Plumbing &amp; Drain Group</t>
        </is>
      </c>
      <c r="B416" s="14" t="inlineStr">
        <is>
          <t>HVAC/Plumbing</t>
        </is>
      </c>
      <c r="C416" s="15" t="n">
        <v>94</v>
      </c>
      <c r="D416" s="13" t="inlineStr">
        <is>
          <t>Ford Transit 150</t>
        </is>
      </c>
      <c r="E416" s="13" t="inlineStr">
        <is>
          <t>Matthew Martinez</t>
        </is>
      </c>
      <c r="F416" s="13" t="inlineStr">
        <is>
          <t>matthew@springvalleyplumbingdraingroup.com</t>
        </is>
      </c>
      <c r="G416" s="13" t="inlineStr">
        <is>
          <t>702-555-4579</t>
        </is>
      </c>
      <c r="H416" s="14" t="inlineStr">
        <is>
          <t>DOT91039</t>
        </is>
      </c>
      <c r="I416" s="16" t="n">
        <v>0.204</v>
      </c>
      <c r="J416" s="13" t="inlineStr">
        <is>
          <t>Transit 114°F Electrical Module Overheat Wire Ground Fire Risk</t>
        </is>
      </c>
      <c r="K416" s="14" t="inlineStr">
        <is>
          <t>Audit Run</t>
        </is>
      </c>
      <c r="L416" s="17">
        <f>IF(C416&gt;0, 99 + (C416 * 2.5), 0)</f>
        <v/>
      </c>
    </row>
    <row r="417">
      <c r="A417" s="8" t="inlineStr">
        <is>
          <t>Silver State Shuttles Group</t>
        </is>
      </c>
      <c r="B417" s="9" t="inlineStr">
        <is>
          <t>Boutique Transit</t>
        </is>
      </c>
      <c r="C417" s="10" t="n">
        <v>124</v>
      </c>
      <c r="D417" s="8" t="inlineStr">
        <is>
          <t>Mercedes-Benz Sprinter 3500</t>
        </is>
      </c>
      <c r="E417" s="8" t="inlineStr">
        <is>
          <t>Thomas Martin</t>
        </is>
      </c>
      <c r="F417" s="8" t="inlineStr">
        <is>
          <t>thomas@silverstateshuttlesgroup.com</t>
        </is>
      </c>
      <c r="G417" s="8" t="inlineStr">
        <is>
          <t>702-555-4994</t>
        </is>
      </c>
      <c r="H417" s="9" t="inlineStr">
        <is>
          <t>DOT15226</t>
        </is>
      </c>
      <c r="I417" s="11" t="n">
        <v>0.252</v>
      </c>
      <c r="J417" s="8" t="inlineStr">
        <is>
          <t>Sprinter AC Comp Condensation Drain Backup Wiring Short</t>
        </is>
      </c>
      <c r="K417" s="9" t="inlineStr">
        <is>
          <t>Warm Prospect</t>
        </is>
      </c>
      <c r="L417" s="12">
        <f>IF(C417&gt;0, 99 + (C417 * 2.5), 0)</f>
        <v/>
      </c>
    </row>
    <row r="418">
      <c r="A418" s="13" t="inlineStr">
        <is>
          <t>Spring Valley Electric &amp; Solar LLC</t>
        </is>
      </c>
      <c r="B418" s="14" t="inlineStr">
        <is>
          <t>Electrical Services</t>
        </is>
      </c>
      <c r="C418" s="15" t="n">
        <v>148</v>
      </c>
      <c r="D418" s="13" t="inlineStr">
        <is>
          <t>Ram ProMaster 2500</t>
        </is>
      </c>
      <c r="E418" s="13" t="inlineStr">
        <is>
          <t>Christopher Smith</t>
        </is>
      </c>
      <c r="F418" s="13" t="inlineStr">
        <is>
          <t>christopher@springvalleyelectricsolarllc.com</t>
        </is>
      </c>
      <c r="G418" s="13" t="inlineStr">
        <is>
          <t>702-555-9468</t>
        </is>
      </c>
      <c r="H418" s="14" t="inlineStr">
        <is>
          <t>DOT59146</t>
        </is>
      </c>
      <c r="I418" s="16" t="n">
        <v>0.199</v>
      </c>
      <c r="J418" s="13" t="inlineStr">
        <is>
          <t>ProMaster Brake Line Rubbing Collision Abrasion Leak</t>
        </is>
      </c>
      <c r="K418" s="14" t="inlineStr">
        <is>
          <t>Audit Run</t>
        </is>
      </c>
      <c r="L418" s="17">
        <f>IF(C418&gt;0, 99 + (C418 * 2.5), 0)</f>
        <v/>
      </c>
    </row>
    <row r="419">
      <c r="A419" s="8" t="inlineStr">
        <is>
          <t>First Choice Electric &amp; Solar LLC</t>
        </is>
      </c>
      <c r="B419" s="9" t="inlineStr">
        <is>
          <t>Electrical Services</t>
        </is>
      </c>
      <c r="C419" s="10" t="n">
        <v>92</v>
      </c>
      <c r="D419" s="8" t="inlineStr">
        <is>
          <t>Chevy Express 3500</t>
        </is>
      </c>
      <c r="E419" s="8" t="inlineStr">
        <is>
          <t>Paul Williams</t>
        </is>
      </c>
      <c r="F419" s="8" t="inlineStr">
        <is>
          <t>paul@firstchoiceelectricsolarllc.com</t>
        </is>
      </c>
      <c r="G419" s="8" t="inlineStr">
        <is>
          <t>702-555-2572</t>
        </is>
      </c>
      <c r="H419" s="9" t="inlineStr">
        <is>
          <t>DOT31940</t>
        </is>
      </c>
      <c r="I419" s="11" t="n">
        <v>0.341</v>
      </c>
      <c r="J419" s="8" t="inlineStr">
        <is>
          <t>Express Engine Bay Hose Thermal Crack Hazard</t>
        </is>
      </c>
      <c r="K419" s="9" t="inlineStr">
        <is>
          <t>Audit Run</t>
        </is>
      </c>
      <c r="L419" s="12">
        <f>IF(C419&gt;0, 99 + (C419 * 2.5), 0)</f>
        <v/>
      </c>
    </row>
    <row r="420">
      <c r="A420" s="13" t="inlineStr">
        <is>
          <t>Silver State Charter Buses Inc</t>
        </is>
      </c>
      <c r="B420" s="14" t="inlineStr">
        <is>
          <t>Boutique Transit</t>
        </is>
      </c>
      <c r="C420" s="15" t="n">
        <v>64</v>
      </c>
      <c r="D420" s="13" t="inlineStr">
        <is>
          <t>Mercedes-Benz Sprinter 2500</t>
        </is>
      </c>
      <c r="E420" s="13" t="inlineStr">
        <is>
          <t>Mark Brown</t>
        </is>
      </c>
      <c r="F420" s="13" t="inlineStr">
        <is>
          <t>mark@silverstatecharterbusesinc.com</t>
        </is>
      </c>
      <c r="G420" s="13" t="inlineStr">
        <is>
          <t>702-555-4368</t>
        </is>
      </c>
      <c r="H420" s="14" t="inlineStr">
        <is>
          <t>DOT80484</t>
        </is>
      </c>
      <c r="I420" s="16" t="n">
        <v>0.297</v>
      </c>
      <c r="J420" s="13" t="inlineStr">
        <is>
          <t>Sprinter AC Comp Condensation Drain Backup Wiring Short</t>
        </is>
      </c>
      <c r="K420" s="14" t="inlineStr">
        <is>
          <t>Warm Prospect</t>
        </is>
      </c>
      <c r="L420" s="17">
        <f>IF(C420&gt;0, 99 + (C420 * 2.5), 0)</f>
        <v/>
      </c>
    </row>
    <row r="421">
      <c r="A421" s="8" t="inlineStr">
        <is>
          <t>Summerlin Shuttles Group</t>
        </is>
      </c>
      <c r="B421" s="9" t="inlineStr">
        <is>
          <t>Boutique Transit</t>
        </is>
      </c>
      <c r="C421" s="10" t="n">
        <v>49</v>
      </c>
      <c r="D421" s="8" t="inlineStr">
        <is>
          <t>Ford Transit 350</t>
        </is>
      </c>
      <c r="E421" s="8" t="inlineStr">
        <is>
          <t>John Anderson</t>
        </is>
      </c>
      <c r="F421" s="8" t="inlineStr">
        <is>
          <t>john@summerlinshuttlesgroup.com</t>
        </is>
      </c>
      <c r="G421" s="8" t="inlineStr">
        <is>
          <t>702-555-6434</t>
        </is>
      </c>
      <c r="H421" s="9" t="inlineStr">
        <is>
          <t>DOT14965</t>
        </is>
      </c>
      <c r="I421" s="11" t="n">
        <v>0.067</v>
      </c>
      <c r="J421" s="8" t="inlineStr">
        <is>
          <t>Transit 114°F Electrical Module Overheat Wire Ground Fire Risk</t>
        </is>
      </c>
      <c r="K421" s="9" t="inlineStr">
        <is>
          <t>Warm Prospect</t>
        </is>
      </c>
      <c r="L421" s="12">
        <f>IF(C421&gt;0, 99 + (C421 * 2.5), 0)</f>
        <v/>
      </c>
    </row>
    <row r="422">
      <c r="A422" s="13" t="inlineStr">
        <is>
          <t>Henderson HVAC Services Group</t>
        </is>
      </c>
      <c r="B422" s="14" t="inlineStr">
        <is>
          <t>HVAC/Plumbing</t>
        </is>
      </c>
      <c r="C422" s="15" t="n">
        <v>68</v>
      </c>
      <c r="D422" s="13" t="inlineStr">
        <is>
          <t>Ford Transit 250</t>
        </is>
      </c>
      <c r="E422" s="13" t="inlineStr">
        <is>
          <t>Charles Wilson</t>
        </is>
      </c>
      <c r="F422" s="13" t="inlineStr">
        <is>
          <t>charles@hendersonhvacservicesgroup.com</t>
        </is>
      </c>
      <c r="G422" s="13" t="inlineStr">
        <is>
          <t>702-555-7357</t>
        </is>
      </c>
      <c r="H422" s="14" t="inlineStr">
        <is>
          <t>DOT69129</t>
        </is>
      </c>
      <c r="I422" s="16" t="n">
        <v>0.235</v>
      </c>
      <c r="J422" s="13" t="inlineStr">
        <is>
          <t>Transit 114°F Electrical Module Overheat Wire Ground Fire Risk</t>
        </is>
      </c>
      <c r="K422" s="14" t="inlineStr">
        <is>
          <t>Warm Prospect</t>
        </is>
      </c>
      <c r="L422" s="17">
        <f>IF(C422&gt;0, 99 + (C422 * 2.5), 0)</f>
        <v/>
      </c>
    </row>
    <row r="423">
      <c r="A423" s="8" t="inlineStr">
        <is>
          <t>Silver State Wiring Solutions Group</t>
        </is>
      </c>
      <c r="B423" s="9" t="inlineStr">
        <is>
          <t>Electrical Services</t>
        </is>
      </c>
      <c r="C423" s="10" t="n">
        <v>146</v>
      </c>
      <c r="D423" s="8" t="inlineStr">
        <is>
          <t>Chevy Express 2500</t>
        </is>
      </c>
      <c r="E423" s="8" t="inlineStr">
        <is>
          <t>John Martin</t>
        </is>
      </c>
      <c r="F423" s="8" t="inlineStr">
        <is>
          <t>john@silverstatewiringsolutionsgroup.com</t>
        </is>
      </c>
      <c r="G423" s="8" t="inlineStr">
        <is>
          <t>702-555-2036</t>
        </is>
      </c>
      <c r="H423" s="9" t="inlineStr">
        <is>
          <t>DOT86756</t>
        </is>
      </c>
      <c r="I423" s="11" t="n">
        <v>0.054</v>
      </c>
      <c r="J423" s="8" t="inlineStr">
        <is>
          <t>Express Engine Bay Hose Thermal Crack Hazard</t>
        </is>
      </c>
      <c r="K423" s="9" t="inlineStr">
        <is>
          <t>Warm Prospect</t>
        </is>
      </c>
      <c r="L423" s="12">
        <f>IF(C423&gt;0, 99 + (C423 * 2.5), 0)</f>
        <v/>
      </c>
    </row>
    <row r="424">
      <c r="A424" s="13" t="inlineStr">
        <is>
          <t>Spring Valley Lighting &amp; Power Inc</t>
        </is>
      </c>
      <c r="B424" s="14" t="inlineStr">
        <is>
          <t>Electrical Services</t>
        </is>
      </c>
      <c r="C424" s="15" t="n">
        <v>87</v>
      </c>
      <c r="D424" s="13" t="inlineStr">
        <is>
          <t>Ram ProMaster 2500</t>
        </is>
      </c>
      <c r="E424" s="13" t="inlineStr">
        <is>
          <t>Kenneth Williams</t>
        </is>
      </c>
      <c r="F424" s="13" t="inlineStr">
        <is>
          <t>kenneth@springvalleylightingpowerinc.com</t>
        </is>
      </c>
      <c r="G424" s="13" t="inlineStr">
        <is>
          <t>702-555-5612</t>
        </is>
      </c>
      <c r="H424" s="14" t="inlineStr">
        <is>
          <t>DOT67367</t>
        </is>
      </c>
      <c r="I424" s="16" t="n">
        <v>0.158</v>
      </c>
      <c r="J424" s="13" t="inlineStr">
        <is>
          <t>ProMaster Brake Line Rubbing Collision Abrasion Leak</t>
        </is>
      </c>
      <c r="K424" s="14" t="inlineStr">
        <is>
          <t>Warm Prospect</t>
        </is>
      </c>
      <c r="L424" s="17">
        <f>IF(C424&gt;0, 99 + (C424 * 2.5), 0)</f>
        <v/>
      </c>
    </row>
    <row r="425">
      <c r="A425" s="8" t="inlineStr">
        <is>
          <t>Red Rock Lighting &amp; Power Inc</t>
        </is>
      </c>
      <c r="B425" s="9" t="inlineStr">
        <is>
          <t>Electrical Services</t>
        </is>
      </c>
      <c r="C425" s="10" t="n">
        <v>110</v>
      </c>
      <c r="D425" s="8" t="inlineStr">
        <is>
          <t>Chevy Express 3500</t>
        </is>
      </c>
      <c r="E425" s="8" t="inlineStr">
        <is>
          <t>Andrew Martinez</t>
        </is>
      </c>
      <c r="F425" s="8" t="inlineStr">
        <is>
          <t>andrew@redrocklightingpowerinc.com</t>
        </is>
      </c>
      <c r="G425" s="8" t="inlineStr">
        <is>
          <t>702-555-3360</t>
        </is>
      </c>
      <c r="H425" s="9" t="inlineStr">
        <is>
          <t>DOT49066</t>
        </is>
      </c>
      <c r="I425" s="11" t="n">
        <v>0.25</v>
      </c>
      <c r="J425" s="8" t="inlineStr">
        <is>
          <t>Express Engine Bay Hose Thermal Crack Hazard</t>
        </is>
      </c>
      <c r="K425" s="9" t="inlineStr">
        <is>
          <t>Warm Prospect</t>
        </is>
      </c>
      <c r="L425" s="12">
        <f>IF(C425&gt;0, 99 + (C425 * 2.5), 0)</f>
        <v/>
      </c>
    </row>
    <row r="426">
      <c r="A426" s="13" t="inlineStr">
        <is>
          <t>High Rise Plumbing Experts Inc</t>
        </is>
      </c>
      <c r="B426" s="14" t="inlineStr">
        <is>
          <t>HVAC/Plumbing</t>
        </is>
      </c>
      <c r="C426" s="15" t="n">
        <v>20</v>
      </c>
      <c r="D426" s="13" t="inlineStr">
        <is>
          <t>Ford Transit 250</t>
        </is>
      </c>
      <c r="E426" s="13" t="inlineStr">
        <is>
          <t>John Jackson</t>
        </is>
      </c>
      <c r="F426" s="13" t="inlineStr">
        <is>
          <t>john@highriseplumbingexpertsinc.com</t>
        </is>
      </c>
      <c r="G426" s="13" t="inlineStr">
        <is>
          <t>702-555-7456</t>
        </is>
      </c>
      <c r="H426" s="14" t="inlineStr">
        <is>
          <t>DOT80405</t>
        </is>
      </c>
      <c r="I426" s="16" t="n">
        <v>0.21</v>
      </c>
      <c r="J426" s="13" t="inlineStr">
        <is>
          <t>Transit 114°F Electrical Module Overheat Wire Ground Fire Risk</t>
        </is>
      </c>
      <c r="K426" s="14" t="inlineStr">
        <is>
          <t>Warm Prospect</t>
        </is>
      </c>
      <c r="L426" s="17">
        <f>IF(C426&gt;0, 99 + (C426 * 2.5), 0)</f>
        <v/>
      </c>
    </row>
    <row r="427">
      <c r="A427" s="8" t="inlineStr">
        <is>
          <t>Sunset Electric Pros Group</t>
        </is>
      </c>
      <c r="B427" s="9" t="inlineStr">
        <is>
          <t>Electrical Services</t>
        </is>
      </c>
      <c r="C427" s="10" t="n">
        <v>64</v>
      </c>
      <c r="D427" s="8" t="inlineStr">
        <is>
          <t>Ram ProMaster 2500</t>
        </is>
      </c>
      <c r="E427" s="8" t="inlineStr">
        <is>
          <t>Mark Taylor</t>
        </is>
      </c>
      <c r="F427" s="8" t="inlineStr">
        <is>
          <t>mark@sunsetelectricprosgroup.com</t>
        </is>
      </c>
      <c r="G427" s="8" t="inlineStr">
        <is>
          <t>702-555-3333</t>
        </is>
      </c>
      <c r="H427" s="9" t="inlineStr">
        <is>
          <t>DOT31096</t>
        </is>
      </c>
      <c r="I427" s="11" t="n">
        <v>0.097</v>
      </c>
      <c r="J427" s="8" t="inlineStr">
        <is>
          <t>ProMaster Brake Line Rubbing Collision Abrasion Leak</t>
        </is>
      </c>
      <c r="K427" s="9" t="inlineStr">
        <is>
          <t>Audit Run</t>
        </is>
      </c>
      <c r="L427" s="12">
        <f>IF(C427&gt;0, 99 + (C427 * 2.5), 0)</f>
        <v/>
      </c>
    </row>
    <row r="428">
      <c r="A428" s="13" t="inlineStr">
        <is>
          <t>Sunset Electric &amp; Solar Inc</t>
        </is>
      </c>
      <c r="B428" s="14" t="inlineStr">
        <is>
          <t>Electrical Services</t>
        </is>
      </c>
      <c r="C428" s="15" t="n">
        <v>150</v>
      </c>
      <c r="D428" s="13" t="inlineStr">
        <is>
          <t>Chevy Express 2500</t>
        </is>
      </c>
      <c r="E428" s="13" t="inlineStr">
        <is>
          <t>Donald Moore</t>
        </is>
      </c>
      <c r="F428" s="13" t="inlineStr">
        <is>
          <t>donald@sunsetelectricsolarinc.com</t>
        </is>
      </c>
      <c r="G428" s="13" t="inlineStr">
        <is>
          <t>702-555-2198</t>
        </is>
      </c>
      <c r="H428" s="14" t="inlineStr">
        <is>
          <t>DOT48096</t>
        </is>
      </c>
      <c r="I428" s="16" t="n">
        <v>0.248</v>
      </c>
      <c r="J428" s="13" t="inlineStr">
        <is>
          <t>Express Engine Bay Hose Thermal Crack Hazard</t>
        </is>
      </c>
      <c r="K428" s="14" t="inlineStr">
        <is>
          <t>Warm Prospect</t>
        </is>
      </c>
      <c r="L428" s="17">
        <f>IF(C428&gt;0, 99 + (C428 * 2.5), 0)</f>
        <v/>
      </c>
    </row>
    <row r="429">
      <c r="A429" s="8" t="inlineStr">
        <is>
          <t>Sunset Mechanical Services Group</t>
        </is>
      </c>
      <c r="B429" s="9" t="inlineStr">
        <is>
          <t>HVAC/Plumbing</t>
        </is>
      </c>
      <c r="C429" s="10" t="n">
        <v>94</v>
      </c>
      <c r="D429" s="8" t="inlineStr">
        <is>
          <t>GMC Savana 2500</t>
        </is>
      </c>
      <c r="E429" s="8" t="inlineStr">
        <is>
          <t>Matthew Jones</t>
        </is>
      </c>
      <c r="F429" s="8" t="inlineStr">
        <is>
          <t>matthew@sunsetmechanicalservicesgroup.com</t>
        </is>
      </c>
      <c r="G429" s="8" t="inlineStr">
        <is>
          <t>702-555-4842</t>
        </is>
      </c>
      <c r="H429" s="9" t="inlineStr">
        <is>
          <t>DOT23113</t>
        </is>
      </c>
      <c r="I429" s="11" t="n">
        <v>0.128</v>
      </c>
      <c r="J429" s="8" t="inlineStr">
        <is>
          <t>Savana Desert Fuel Line Seal Degradation Failure</t>
        </is>
      </c>
      <c r="K429" s="9" t="inlineStr">
        <is>
          <t>Warm Prospect</t>
        </is>
      </c>
      <c r="L429" s="12">
        <f>IF(C429&gt;0, 99 + (C429 * 2.5), 0)</f>
        <v/>
      </c>
    </row>
    <row r="430">
      <c r="A430" s="13" t="inlineStr">
        <is>
          <t>Valley Comfort Heating LLC</t>
        </is>
      </c>
      <c r="B430" s="14" t="inlineStr">
        <is>
          <t>HVAC/Plumbing</t>
        </is>
      </c>
      <c r="C430" s="15" t="n">
        <v>88</v>
      </c>
      <c r="D430" s="13" t="inlineStr">
        <is>
          <t>Ford Transit 150</t>
        </is>
      </c>
      <c r="E430" s="13" t="inlineStr">
        <is>
          <t>Joshua Jones</t>
        </is>
      </c>
      <c r="F430" s="13" t="inlineStr">
        <is>
          <t>joshua@valleycomfortheatingllc.com</t>
        </is>
      </c>
      <c r="G430" s="13" t="inlineStr">
        <is>
          <t>702-555-6971</t>
        </is>
      </c>
      <c r="H430" s="14" t="inlineStr">
        <is>
          <t>DOT51462</t>
        </is>
      </c>
      <c r="I430" s="16" t="n">
        <v>0.337</v>
      </c>
      <c r="J430" s="13" t="inlineStr">
        <is>
          <t>Transit 114°F Electrical Module Overheat Wire Ground Fire Risk</t>
        </is>
      </c>
      <c r="K430" s="14" t="inlineStr">
        <is>
          <t>Warm Prospect</t>
        </is>
      </c>
      <c r="L430" s="17">
        <f>IF(C430&gt;0, 99 + (C430 * 2.5), 0)</f>
        <v/>
      </c>
    </row>
    <row r="431">
      <c r="A431" s="8" t="inlineStr">
        <is>
          <t>Valley Plumbing &amp; Drain Inc</t>
        </is>
      </c>
      <c r="B431" s="9" t="inlineStr">
        <is>
          <t>HVAC/Plumbing</t>
        </is>
      </c>
      <c r="C431" s="10" t="n">
        <v>80</v>
      </c>
      <c r="D431" s="8" t="inlineStr">
        <is>
          <t>GMC Savana 2500</t>
        </is>
      </c>
      <c r="E431" s="8" t="inlineStr">
        <is>
          <t>Matthew Jones</t>
        </is>
      </c>
      <c r="F431" s="8" t="inlineStr">
        <is>
          <t>matthew@valleyplumbingdraininc.com</t>
        </is>
      </c>
      <c r="G431" s="8" t="inlineStr">
        <is>
          <t>702-555-6432</t>
        </is>
      </c>
      <c r="H431" s="9" t="inlineStr">
        <is>
          <t>DOT72908</t>
        </is>
      </c>
      <c r="I431" s="11" t="n">
        <v>0.183</v>
      </c>
      <c r="J431" s="8" t="inlineStr">
        <is>
          <t>Savana Desert Fuel Line Seal Degradation Failure</t>
        </is>
      </c>
      <c r="K431" s="9" t="inlineStr">
        <is>
          <t>Warm Prospect</t>
        </is>
      </c>
      <c r="L431" s="12">
        <f>IF(C431&gt;0, 99 + (C431 * 2.5), 0)</f>
        <v/>
      </c>
    </row>
    <row r="432">
      <c r="A432" s="13" t="inlineStr">
        <is>
          <t>First Choice Lighting &amp; Power Inc</t>
        </is>
      </c>
      <c r="B432" s="14" t="inlineStr">
        <is>
          <t>Electrical Services</t>
        </is>
      </c>
      <c r="C432" s="15" t="n">
        <v>30</v>
      </c>
      <c r="D432" s="13" t="inlineStr">
        <is>
          <t>Chevy Express 3500</t>
        </is>
      </c>
      <c r="E432" s="13" t="inlineStr">
        <is>
          <t>Charles Jones</t>
        </is>
      </c>
      <c r="F432" s="13" t="inlineStr">
        <is>
          <t>charles@firstchoicelightingpowerinc.com</t>
        </is>
      </c>
      <c r="G432" s="13" t="inlineStr">
        <is>
          <t>702-555-9824</t>
        </is>
      </c>
      <c r="H432" s="14" t="inlineStr">
        <is>
          <t>DOT35746</t>
        </is>
      </c>
      <c r="I432" s="16" t="n">
        <v>0.122</v>
      </c>
      <c r="J432" s="13" t="inlineStr">
        <is>
          <t>Express Engine Bay Hose Thermal Crack Hazard</t>
        </is>
      </c>
      <c r="K432" s="14" t="inlineStr">
        <is>
          <t>Warm Prospect</t>
        </is>
      </c>
      <c r="L432" s="17">
        <f>IF(C432&gt;0, 99 + (C432 * 2.5), 0)</f>
        <v/>
      </c>
    </row>
    <row r="433">
      <c r="A433" s="8" t="inlineStr">
        <is>
          <t>Apex Shuttles Group</t>
        </is>
      </c>
      <c r="B433" s="9" t="inlineStr">
        <is>
          <t>Boutique Transit</t>
        </is>
      </c>
      <c r="C433" s="10" t="n">
        <v>17</v>
      </c>
      <c r="D433" s="8" t="inlineStr">
        <is>
          <t>Ford Transit 350</t>
        </is>
      </c>
      <c r="E433" s="8" t="inlineStr">
        <is>
          <t>Joshua Jackson</t>
        </is>
      </c>
      <c r="F433" s="8" t="inlineStr">
        <is>
          <t>joshua@apexshuttlesgroup.com</t>
        </is>
      </c>
      <c r="G433" s="8" t="inlineStr">
        <is>
          <t>702-555-7637</t>
        </is>
      </c>
      <c r="H433" s="9" t="inlineStr">
        <is>
          <t>DOT87337</t>
        </is>
      </c>
      <c r="I433" s="11" t="n">
        <v>0.106</v>
      </c>
      <c r="J433" s="8" t="inlineStr">
        <is>
          <t>Transit 114°F Electrical Module Overheat Wire Ground Fire Risk</t>
        </is>
      </c>
      <c r="K433" s="9" t="inlineStr">
        <is>
          <t>Warm Prospect</t>
        </is>
      </c>
      <c r="L433" s="12">
        <f>IF(C433&gt;0, 99 + (C433 * 2.5), 0)</f>
        <v/>
      </c>
    </row>
    <row r="434">
      <c r="A434" s="13" t="inlineStr">
        <is>
          <t>Mojave Logistics Group</t>
        </is>
      </c>
      <c r="B434" s="14" t="inlineStr">
        <is>
          <t>Boutique Transit</t>
        </is>
      </c>
      <c r="C434" s="15" t="n">
        <v>48</v>
      </c>
      <c r="D434" s="13" t="inlineStr">
        <is>
          <t>Mercedes-Benz Sprinter 3500</t>
        </is>
      </c>
      <c r="E434" s="13" t="inlineStr">
        <is>
          <t>Matthew Gonzalez</t>
        </is>
      </c>
      <c r="F434" s="13" t="inlineStr">
        <is>
          <t>matthew@mojavelogisticsgroup.com</t>
        </is>
      </c>
      <c r="G434" s="13" t="inlineStr">
        <is>
          <t>702-555-4658</t>
        </is>
      </c>
      <c r="H434" s="14" t="inlineStr">
        <is>
          <t>DOT87280</t>
        </is>
      </c>
      <c r="I434" s="16" t="n">
        <v>0.267</v>
      </c>
      <c r="J434" s="13" t="inlineStr">
        <is>
          <t>Sprinter AC Comp Condensation Drain Backup Wiring Short</t>
        </is>
      </c>
      <c r="K434" s="14" t="inlineStr">
        <is>
          <t>Warm Prospect</t>
        </is>
      </c>
      <c r="L434" s="17">
        <f>IF(C434&gt;0, 99 + (C434 * 2.5), 0)</f>
        <v/>
      </c>
    </row>
    <row r="435">
      <c r="A435" s="8" t="inlineStr">
        <is>
          <t>First Choice Plumbing Experts Group</t>
        </is>
      </c>
      <c r="B435" s="9" t="inlineStr">
        <is>
          <t>HVAC/Plumbing</t>
        </is>
      </c>
      <c r="C435" s="10" t="n">
        <v>111</v>
      </c>
      <c r="D435" s="8" t="inlineStr">
        <is>
          <t>Ford Transit 250</t>
        </is>
      </c>
      <c r="E435" s="8" t="inlineStr">
        <is>
          <t>Matthew Taylor</t>
        </is>
      </c>
      <c r="F435" s="8" t="inlineStr">
        <is>
          <t>matthew@firstchoiceplumbingexpertsgroup.com</t>
        </is>
      </c>
      <c r="G435" s="8" t="inlineStr">
        <is>
          <t>702-555-1173</t>
        </is>
      </c>
      <c r="H435" s="9" t="inlineStr">
        <is>
          <t>DOT96858</t>
        </is>
      </c>
      <c r="I435" s="11" t="n">
        <v>0.114</v>
      </c>
      <c r="J435" s="8" t="inlineStr">
        <is>
          <t>Transit 114°F Electrical Module Overheat Wire Ground Fire Risk</t>
        </is>
      </c>
      <c r="K435" s="9" t="inlineStr">
        <is>
          <t>Audit Run</t>
        </is>
      </c>
      <c r="L435" s="12">
        <f>IF(C435&gt;0, 99 + (C435 * 2.5), 0)</f>
        <v/>
      </c>
    </row>
    <row r="436">
      <c r="A436" s="13" t="inlineStr">
        <is>
          <t>Red Rock Logistics Inc</t>
        </is>
      </c>
      <c r="B436" s="14" t="inlineStr">
        <is>
          <t>Boutique Transit</t>
        </is>
      </c>
      <c r="C436" s="15" t="n">
        <v>50</v>
      </c>
      <c r="D436" s="13" t="inlineStr">
        <is>
          <t>Mercedes-Benz Sprinter 3500</t>
        </is>
      </c>
      <c r="E436" s="13" t="inlineStr">
        <is>
          <t>William Jackson</t>
        </is>
      </c>
      <c r="F436" s="13" t="inlineStr">
        <is>
          <t>william@redrocklogisticsinc.com</t>
        </is>
      </c>
      <c r="G436" s="13" t="inlineStr">
        <is>
          <t>702-555-3395</t>
        </is>
      </c>
      <c r="H436" s="14" t="inlineStr">
        <is>
          <t>DOT73373</t>
        </is>
      </c>
      <c r="I436" s="16" t="n">
        <v>0.331</v>
      </c>
      <c r="J436" s="13" t="inlineStr">
        <is>
          <t>Sprinter AC Comp Condensation Drain Backup Wiring Short</t>
        </is>
      </c>
      <c r="K436" s="14" t="inlineStr">
        <is>
          <t>Warm Prospect</t>
        </is>
      </c>
      <c r="L436" s="17">
        <f>IF(C436&gt;0, 99 + (C436 * 2.5), 0)</f>
        <v/>
      </c>
    </row>
    <row r="437">
      <c r="A437" s="8" t="inlineStr">
        <is>
          <t>Henderson Comfort Heating Inc</t>
        </is>
      </c>
      <c r="B437" s="9" t="inlineStr">
        <is>
          <t>HVAC/Plumbing</t>
        </is>
      </c>
      <c r="C437" s="10" t="n">
        <v>77</v>
      </c>
      <c r="D437" s="8" t="inlineStr">
        <is>
          <t>Ford Transit 250</t>
        </is>
      </c>
      <c r="E437" s="8" t="inlineStr">
        <is>
          <t>Matthew Davis</t>
        </is>
      </c>
      <c r="F437" s="8" t="inlineStr">
        <is>
          <t>matthew@hendersoncomfortheatinginc.com</t>
        </is>
      </c>
      <c r="G437" s="8" t="inlineStr">
        <is>
          <t>702-555-1701</t>
        </is>
      </c>
      <c r="H437" s="9" t="inlineStr">
        <is>
          <t>DOT97632</t>
        </is>
      </c>
      <c r="I437" s="11" t="n">
        <v>0.104</v>
      </c>
      <c r="J437" s="8" t="inlineStr">
        <is>
          <t>Transit 114°F Electrical Module Overheat Wire Ground Fire Risk</t>
        </is>
      </c>
      <c r="K437" s="9" t="inlineStr">
        <is>
          <t>Warm Prospect</t>
        </is>
      </c>
      <c r="L437" s="12">
        <f>IF(C437&gt;0, 99 + (C437 * 2.5), 0)</f>
        <v/>
      </c>
    </row>
    <row r="438">
      <c r="A438" s="13" t="inlineStr">
        <is>
          <t>First Choice Wiring Solutions Inc</t>
        </is>
      </c>
      <c r="B438" s="14" t="inlineStr">
        <is>
          <t>Electrical Services</t>
        </is>
      </c>
      <c r="C438" s="15" t="n">
        <v>92</v>
      </c>
      <c r="D438" s="13" t="inlineStr">
        <is>
          <t>Chevy Express 2500</t>
        </is>
      </c>
      <c r="E438" s="13" t="inlineStr">
        <is>
          <t>Robert Taylor</t>
        </is>
      </c>
      <c r="F438" s="13" t="inlineStr">
        <is>
          <t>robert@firstchoicewiringsolutionsinc.com</t>
        </is>
      </c>
      <c r="G438" s="13" t="inlineStr">
        <is>
          <t>702-555-5480</t>
        </is>
      </c>
      <c r="H438" s="14" t="inlineStr">
        <is>
          <t>DOT44513</t>
        </is>
      </c>
      <c r="I438" s="16" t="n">
        <v>0.219</v>
      </c>
      <c r="J438" s="13" t="inlineStr">
        <is>
          <t>Express Engine Bay Hose Thermal Crack Hazard</t>
        </is>
      </c>
      <c r="K438" s="14" t="inlineStr">
        <is>
          <t>Audit Run</t>
        </is>
      </c>
      <c r="L438" s="17">
        <f>IF(C438&gt;0, 99 + (C438 * 2.5), 0)</f>
        <v/>
      </c>
    </row>
    <row r="439">
      <c r="A439" s="8" t="inlineStr">
        <is>
          <t>Titan Mechanical Services LLC</t>
        </is>
      </c>
      <c r="B439" s="9" t="inlineStr">
        <is>
          <t>HVAC/Plumbing</t>
        </is>
      </c>
      <c r="C439" s="10" t="n">
        <v>29</v>
      </c>
      <c r="D439" s="8" t="inlineStr">
        <is>
          <t>Ford Transit 150</t>
        </is>
      </c>
      <c r="E439" s="8" t="inlineStr">
        <is>
          <t>Paul Rodriguez</t>
        </is>
      </c>
      <c r="F439" s="8" t="inlineStr">
        <is>
          <t>paul@titanmechanicalservicesllc.com</t>
        </is>
      </c>
      <c r="G439" s="8" t="inlineStr">
        <is>
          <t>702-555-7165</t>
        </is>
      </c>
      <c r="H439" s="9" t="inlineStr">
        <is>
          <t>DOT39215</t>
        </is>
      </c>
      <c r="I439" s="11" t="n">
        <v>0.2</v>
      </c>
      <c r="J439" s="8" t="inlineStr">
        <is>
          <t>Transit 114°F Electrical Module Overheat Wire Ground Fire Risk</t>
        </is>
      </c>
      <c r="K439" s="9" t="inlineStr">
        <is>
          <t>Warm Prospect</t>
        </is>
      </c>
      <c r="L439" s="12">
        <f>IF(C439&gt;0, 99 + (C439 * 2.5), 0)</f>
        <v/>
      </c>
    </row>
    <row r="440">
      <c r="A440" s="13" t="inlineStr">
        <is>
          <t>First Choice Wiring Solutions Group</t>
        </is>
      </c>
      <c r="B440" s="14" t="inlineStr">
        <is>
          <t>Electrical Services</t>
        </is>
      </c>
      <c r="C440" s="15" t="n">
        <v>138</v>
      </c>
      <c r="D440" s="13" t="inlineStr">
        <is>
          <t>Chevy Express 2500</t>
        </is>
      </c>
      <c r="E440" s="13" t="inlineStr">
        <is>
          <t>David Anderson</t>
        </is>
      </c>
      <c r="F440" s="13" t="inlineStr">
        <is>
          <t>david@firstchoicewiringsolutionsgroup.com</t>
        </is>
      </c>
      <c r="G440" s="13" t="inlineStr">
        <is>
          <t>702-555-3713</t>
        </is>
      </c>
      <c r="H440" s="14" t="inlineStr">
        <is>
          <t>DOT40145</t>
        </is>
      </c>
      <c r="I440" s="16" t="n">
        <v>0.064</v>
      </c>
      <c r="J440" s="13" t="inlineStr">
        <is>
          <t>Express Engine Bay Hose Thermal Crack Hazard</t>
        </is>
      </c>
      <c r="K440" s="14" t="inlineStr">
        <is>
          <t>Warm Prospect</t>
        </is>
      </c>
      <c r="L440" s="17">
        <f>IF(C440&gt;0, 99 + (C440 * 2.5), 0)</f>
        <v/>
      </c>
    </row>
    <row r="441">
      <c r="A441" s="8" t="inlineStr">
        <is>
          <t>Red Rock Plumbing &amp; Drain Inc</t>
        </is>
      </c>
      <c r="B441" s="9" t="inlineStr">
        <is>
          <t>HVAC/Plumbing</t>
        </is>
      </c>
      <c r="C441" s="10" t="n">
        <v>40</v>
      </c>
      <c r="D441" s="8" t="inlineStr">
        <is>
          <t>Ford Transit 150</t>
        </is>
      </c>
      <c r="E441" s="8" t="inlineStr">
        <is>
          <t>Thomas Wilson</t>
        </is>
      </c>
      <c r="F441" s="8" t="inlineStr">
        <is>
          <t>thomas@redrockplumbingdraininc.com</t>
        </is>
      </c>
      <c r="G441" s="8" t="inlineStr">
        <is>
          <t>702-555-6410</t>
        </is>
      </c>
      <c r="H441" s="9" t="inlineStr">
        <is>
          <t>DOT24855</t>
        </is>
      </c>
      <c r="I441" s="11" t="n">
        <v>0.189</v>
      </c>
      <c r="J441" s="8" t="inlineStr">
        <is>
          <t>Transit 114°F Electrical Module Overheat Wire Ground Fire Risk</t>
        </is>
      </c>
      <c r="K441" s="9" t="inlineStr">
        <is>
          <t>Warm Prospect</t>
        </is>
      </c>
      <c r="L441" s="12">
        <f>IF(C441&gt;0, 99 + (C441 * 2.5), 0)</f>
        <v/>
      </c>
    </row>
    <row r="442">
      <c r="A442" s="13" t="inlineStr">
        <is>
          <t>Sunset Lighting &amp; Power Inc</t>
        </is>
      </c>
      <c r="B442" s="14" t="inlineStr">
        <is>
          <t>Electrical Services</t>
        </is>
      </c>
      <c r="C442" s="15" t="n">
        <v>15</v>
      </c>
      <c r="D442" s="13" t="inlineStr">
        <is>
          <t>Ram ProMaster 1500</t>
        </is>
      </c>
      <c r="E442" s="13" t="inlineStr">
        <is>
          <t>Thomas Johnson</t>
        </is>
      </c>
      <c r="F442" s="13" t="inlineStr">
        <is>
          <t>thomas@sunsetlightingpowerinc.com</t>
        </is>
      </c>
      <c r="G442" s="13" t="inlineStr">
        <is>
          <t>702-555-3095</t>
        </is>
      </c>
      <c r="H442" s="14" t="inlineStr">
        <is>
          <t>DOT85168</t>
        </is>
      </c>
      <c r="I442" s="16" t="n">
        <v>0.224</v>
      </c>
      <c r="J442" s="13" t="inlineStr">
        <is>
          <t>ProMaster Brake Line Rubbing Collision Abrasion Leak</t>
        </is>
      </c>
      <c r="K442" s="14" t="inlineStr">
        <is>
          <t>Warm Prospect</t>
        </is>
      </c>
      <c r="L442" s="17">
        <f>IF(C442&gt;0, 99 + (C442 * 2.5), 0)</f>
        <v/>
      </c>
    </row>
    <row r="443">
      <c r="A443" s="8" t="inlineStr">
        <is>
          <t>High Rise Shuttles Group</t>
        </is>
      </c>
      <c r="B443" s="9" t="inlineStr">
        <is>
          <t>Boutique Transit</t>
        </is>
      </c>
      <c r="C443" s="10" t="n">
        <v>24</v>
      </c>
      <c r="D443" s="8" t="inlineStr">
        <is>
          <t>Mercedes-Benz Sprinter 2500</t>
        </is>
      </c>
      <c r="E443" s="8" t="inlineStr">
        <is>
          <t>William Rodriguez</t>
        </is>
      </c>
      <c r="F443" s="8" t="inlineStr">
        <is>
          <t>william@highriseshuttlesgroup.com</t>
        </is>
      </c>
      <c r="G443" s="8" t="inlineStr">
        <is>
          <t>702-555-3949</t>
        </is>
      </c>
      <c r="H443" s="9" t="inlineStr">
        <is>
          <t>DOT77717</t>
        </is>
      </c>
      <c r="I443" s="11" t="n">
        <v>0.337</v>
      </c>
      <c r="J443" s="8" t="inlineStr">
        <is>
          <t>Sprinter AC Comp Condensation Drain Backup Wiring Short</t>
        </is>
      </c>
      <c r="K443" s="9" t="inlineStr">
        <is>
          <t>Audit Run</t>
        </is>
      </c>
      <c r="L443" s="12">
        <f>IF(C443&gt;0, 99 + (C443 * 2.5), 0)</f>
        <v/>
      </c>
    </row>
    <row r="444">
      <c r="A444" s="13" t="inlineStr">
        <is>
          <t>Vegas Valley Shuttles Group</t>
        </is>
      </c>
      <c r="B444" s="14" t="inlineStr">
        <is>
          <t>Boutique Transit</t>
        </is>
      </c>
      <c r="C444" s="15" t="n">
        <v>82</v>
      </c>
      <c r="D444" s="13" t="inlineStr">
        <is>
          <t>Ford Transit 350</t>
        </is>
      </c>
      <c r="E444" s="13" t="inlineStr">
        <is>
          <t>James Miller</t>
        </is>
      </c>
      <c r="F444" s="13" t="inlineStr">
        <is>
          <t>james@vegasvalleyshuttlesgroup.com</t>
        </is>
      </c>
      <c r="G444" s="13" t="inlineStr">
        <is>
          <t>702-555-8359</t>
        </is>
      </c>
      <c r="H444" s="14" t="inlineStr">
        <is>
          <t>DOT89498</t>
        </is>
      </c>
      <c r="I444" s="16" t="n">
        <v>0.348</v>
      </c>
      <c r="J444" s="13" t="inlineStr">
        <is>
          <t>Transit 114°F Electrical Module Overheat Wire Ground Fire Risk</t>
        </is>
      </c>
      <c r="K444" s="14" t="inlineStr">
        <is>
          <t>Warm Prospect</t>
        </is>
      </c>
      <c r="L444" s="17">
        <f>IF(C444&gt;0, 99 + (C444 * 2.5), 0)</f>
        <v/>
      </c>
    </row>
    <row r="445">
      <c r="A445" s="8" t="inlineStr">
        <is>
          <t>Sunset Comfort Heating Group</t>
        </is>
      </c>
      <c r="B445" s="9" t="inlineStr">
        <is>
          <t>HVAC/Plumbing</t>
        </is>
      </c>
      <c r="C445" s="10" t="n">
        <v>56</v>
      </c>
      <c r="D445" s="8" t="inlineStr">
        <is>
          <t>Ford Transit 350</t>
        </is>
      </c>
      <c r="E445" s="8" t="inlineStr">
        <is>
          <t>Kenneth Taylor</t>
        </is>
      </c>
      <c r="F445" s="8" t="inlineStr">
        <is>
          <t>kenneth@sunsetcomfortheatinggroup.com</t>
        </is>
      </c>
      <c r="G445" s="8" t="inlineStr">
        <is>
          <t>702-555-5333</t>
        </is>
      </c>
      <c r="H445" s="9" t="inlineStr">
        <is>
          <t>DOT31983</t>
        </is>
      </c>
      <c r="I445" s="11" t="n">
        <v>0.264</v>
      </c>
      <c r="J445" s="8" t="inlineStr">
        <is>
          <t>Transit 114°F Electrical Module Overheat Wire Ground Fire Risk</t>
        </is>
      </c>
      <c r="K445" s="9" t="inlineStr">
        <is>
          <t>Warm Prospect</t>
        </is>
      </c>
      <c r="L445" s="12">
        <f>IF(C445&gt;0, 99 + (C445 * 2.5), 0)</f>
        <v/>
      </c>
    </row>
    <row r="446">
      <c r="A446" s="13" t="inlineStr">
        <is>
          <t>Las Vegas Lighting &amp; Power Inc</t>
        </is>
      </c>
      <c r="B446" s="14" t="inlineStr">
        <is>
          <t>Electrical Services</t>
        </is>
      </c>
      <c r="C446" s="15" t="n">
        <v>106</v>
      </c>
      <c r="D446" s="13" t="inlineStr">
        <is>
          <t>Chevy Express 3500</t>
        </is>
      </c>
      <c r="E446" s="13" t="inlineStr">
        <is>
          <t>Anthony Jones</t>
        </is>
      </c>
      <c r="F446" s="13" t="inlineStr">
        <is>
          <t>anthony@lasvegaslightingpowerinc.com</t>
        </is>
      </c>
      <c r="G446" s="13" t="inlineStr">
        <is>
          <t>702-555-2778</t>
        </is>
      </c>
      <c r="H446" s="14" t="inlineStr">
        <is>
          <t>DOT12170</t>
        </is>
      </c>
      <c r="I446" s="16" t="n">
        <v>0.103</v>
      </c>
      <c r="J446" s="13" t="inlineStr">
        <is>
          <t>Express Engine Bay Hose Thermal Crack Hazard</t>
        </is>
      </c>
      <c r="K446" s="14" t="inlineStr">
        <is>
          <t>Audit Run</t>
        </is>
      </c>
      <c r="L446" s="17">
        <f>IF(C446&gt;0, 99 + (C446 * 2.5), 0)</f>
        <v/>
      </c>
    </row>
    <row r="447">
      <c r="A447" s="8" t="inlineStr">
        <is>
          <t>Titan Airport Express Group</t>
        </is>
      </c>
      <c r="B447" s="9" t="inlineStr">
        <is>
          <t>Boutique Transit</t>
        </is>
      </c>
      <c r="C447" s="10" t="n">
        <v>55</v>
      </c>
      <c r="D447" s="8" t="inlineStr">
        <is>
          <t>Mercedes-Benz Sprinter 2500</t>
        </is>
      </c>
      <c r="E447" s="8" t="inlineStr">
        <is>
          <t>Steven Martin</t>
        </is>
      </c>
      <c r="F447" s="8" t="inlineStr">
        <is>
          <t>steven@titanairportexpressgroup.com</t>
        </is>
      </c>
      <c r="G447" s="8" t="inlineStr">
        <is>
          <t>702-555-1639</t>
        </is>
      </c>
      <c r="H447" s="9" t="inlineStr">
        <is>
          <t>DOT79655</t>
        </is>
      </c>
      <c r="I447" s="11" t="n">
        <v>0.196</v>
      </c>
      <c r="J447" s="8" t="inlineStr">
        <is>
          <t>Sprinter AC Comp Condensation Drain Backup Wiring Short</t>
        </is>
      </c>
      <c r="K447" s="9" t="inlineStr">
        <is>
          <t>Warm Prospect</t>
        </is>
      </c>
      <c r="L447" s="12">
        <f>IF(C447&gt;0, 99 + (C447 * 2.5), 0)</f>
        <v/>
      </c>
    </row>
    <row r="448">
      <c r="A448" s="13" t="inlineStr">
        <is>
          <t>First Choice Mechanical Services Inc</t>
        </is>
      </c>
      <c r="B448" s="14" t="inlineStr">
        <is>
          <t>HVAC/Plumbing</t>
        </is>
      </c>
      <c r="C448" s="15" t="n">
        <v>148</v>
      </c>
      <c r="D448" s="13" t="inlineStr">
        <is>
          <t>Chevy Express 2500</t>
        </is>
      </c>
      <c r="E448" s="13" t="inlineStr">
        <is>
          <t>John Wilson</t>
        </is>
      </c>
      <c r="F448" s="13" t="inlineStr">
        <is>
          <t>john@firstchoicemechanicalservicesinc.com</t>
        </is>
      </c>
      <c r="G448" s="13" t="inlineStr">
        <is>
          <t>702-555-9553</t>
        </is>
      </c>
      <c r="H448" s="14" t="inlineStr">
        <is>
          <t>DOT65139</t>
        </is>
      </c>
      <c r="I448" s="16" t="n">
        <v>0.155</v>
      </c>
      <c r="J448" s="13" t="inlineStr">
        <is>
          <t>Express Engine Bay Hose Thermal Crack Hazard</t>
        </is>
      </c>
      <c r="K448" s="14" t="inlineStr">
        <is>
          <t>Warm Prospect</t>
        </is>
      </c>
      <c r="L448" s="17">
        <f>IF(C448&gt;0, 99 + (C448 * 2.5), 0)</f>
        <v/>
      </c>
    </row>
    <row r="449">
      <c r="A449" s="8" t="inlineStr">
        <is>
          <t>High Rise Tours &amp; Transit Inc</t>
        </is>
      </c>
      <c r="B449" s="9" t="inlineStr">
        <is>
          <t>Boutique Transit</t>
        </is>
      </c>
      <c r="C449" s="10" t="n">
        <v>107</v>
      </c>
      <c r="D449" s="8" t="inlineStr">
        <is>
          <t>Mercedes-Benz Sprinter 3500</t>
        </is>
      </c>
      <c r="E449" s="8" t="inlineStr">
        <is>
          <t>Matthew Jackson</t>
        </is>
      </c>
      <c r="F449" s="8" t="inlineStr">
        <is>
          <t>matthew@highrisetourstransitinc.com</t>
        </is>
      </c>
      <c r="G449" s="8" t="inlineStr">
        <is>
          <t>702-555-2600</t>
        </is>
      </c>
      <c r="H449" s="9" t="inlineStr">
        <is>
          <t>DOT65769</t>
        </is>
      </c>
      <c r="I449" s="11" t="n">
        <v>0.082</v>
      </c>
      <c r="J449" s="8" t="inlineStr">
        <is>
          <t>Sprinter AC Comp Condensation Drain Backup Wiring Short</t>
        </is>
      </c>
      <c r="K449" s="9" t="inlineStr">
        <is>
          <t>Warm Prospect</t>
        </is>
      </c>
      <c r="L449" s="12">
        <f>IF(C449&gt;0, 99 + (C449 * 2.5), 0)</f>
        <v/>
      </c>
    </row>
    <row r="450">
      <c r="A450" s="13" t="inlineStr">
        <is>
          <t>Spring Valley Air Conditioning LLC</t>
        </is>
      </c>
      <c r="B450" s="14" t="inlineStr">
        <is>
          <t>HVAC/Plumbing</t>
        </is>
      </c>
      <c r="C450" s="15" t="n">
        <v>149</v>
      </c>
      <c r="D450" s="13" t="inlineStr">
        <is>
          <t>Chevy Express 2500</t>
        </is>
      </c>
      <c r="E450" s="13" t="inlineStr">
        <is>
          <t>Mark Rodriguez</t>
        </is>
      </c>
      <c r="F450" s="13" t="inlineStr">
        <is>
          <t>mark@springvalleyairconditioningllc.com</t>
        </is>
      </c>
      <c r="G450" s="13" t="inlineStr">
        <is>
          <t>702-555-4096</t>
        </is>
      </c>
      <c r="H450" s="14" t="inlineStr">
        <is>
          <t>DOT10716</t>
        </is>
      </c>
      <c r="I450" s="16" t="n">
        <v>0.26</v>
      </c>
      <c r="J450" s="13" t="inlineStr">
        <is>
          <t>Express Engine Bay Hose Thermal Crack Hazard</t>
        </is>
      </c>
      <c r="K450" s="14" t="inlineStr">
        <is>
          <t>Warm Prospect</t>
        </is>
      </c>
      <c r="L450" s="17">
        <f>IF(C450&gt;0, 99 + (C450 * 2.5), 0)</f>
        <v/>
      </c>
    </row>
    <row r="451">
      <c r="A451" s="8" t="inlineStr">
        <is>
          <t>High Rise Shuttles Group</t>
        </is>
      </c>
      <c r="B451" s="9" t="inlineStr">
        <is>
          <t>Boutique Transit</t>
        </is>
      </c>
      <c r="C451" s="10" t="n">
        <v>106</v>
      </c>
      <c r="D451" s="8" t="inlineStr">
        <is>
          <t>Mercedes-Benz Sprinter 2500</t>
        </is>
      </c>
      <c r="E451" s="8" t="inlineStr">
        <is>
          <t>Richard Hernandez</t>
        </is>
      </c>
      <c r="F451" s="8" t="inlineStr">
        <is>
          <t>richard@highriseshuttlesgroup.com</t>
        </is>
      </c>
      <c r="G451" s="8" t="inlineStr">
        <is>
          <t>702-555-7698</t>
        </is>
      </c>
      <c r="H451" s="9" t="inlineStr">
        <is>
          <t>DOT57483</t>
        </is>
      </c>
      <c r="I451" s="11" t="n">
        <v>0.073</v>
      </c>
      <c r="J451" s="8" t="inlineStr">
        <is>
          <t>Sprinter AC Comp Condensation Drain Backup Wiring Short</t>
        </is>
      </c>
      <c r="K451" s="9" t="inlineStr">
        <is>
          <t>Warm Prospect</t>
        </is>
      </c>
      <c r="L451" s="12">
        <f>IF(C451&gt;0, 99 + (C451 * 2.5), 0)</f>
        <v/>
      </c>
    </row>
    <row r="452">
      <c r="A452" s="13" t="inlineStr">
        <is>
          <t>Las Vegas Chauffeurs LLC</t>
        </is>
      </c>
      <c r="B452" s="14" t="inlineStr">
        <is>
          <t>Boutique Transit</t>
        </is>
      </c>
      <c r="C452" s="15" t="n">
        <v>118</v>
      </c>
      <c r="D452" s="13" t="inlineStr">
        <is>
          <t>Ford Transit 350</t>
        </is>
      </c>
      <c r="E452" s="13" t="inlineStr">
        <is>
          <t>Joshua Lopez</t>
        </is>
      </c>
      <c r="F452" s="13" t="inlineStr">
        <is>
          <t>joshua@lasvegaschauffeursllc.com</t>
        </is>
      </c>
      <c r="G452" s="13" t="inlineStr">
        <is>
          <t>702-555-5514</t>
        </is>
      </c>
      <c r="H452" s="14" t="inlineStr">
        <is>
          <t>DOT99208</t>
        </is>
      </c>
      <c r="I452" s="16" t="n">
        <v>0.163</v>
      </c>
      <c r="J452" s="13" t="inlineStr">
        <is>
          <t>Transit 114°F Electrical Module Overheat Wire Ground Fire Risk</t>
        </is>
      </c>
      <c r="K452" s="14" t="inlineStr">
        <is>
          <t>Warm Prospect</t>
        </is>
      </c>
      <c r="L452" s="17">
        <f>IF(C452&gt;0, 99 + (C452 * 2.5), 0)</f>
        <v/>
      </c>
    </row>
    <row r="453">
      <c r="A453" s="8" t="inlineStr">
        <is>
          <t>High Rise Lighting &amp; Power LLC</t>
        </is>
      </c>
      <c r="B453" s="9" t="inlineStr">
        <is>
          <t>Electrical Services</t>
        </is>
      </c>
      <c r="C453" s="10" t="n">
        <v>104</v>
      </c>
      <c r="D453" s="8" t="inlineStr">
        <is>
          <t>Chevy Express 3500</t>
        </is>
      </c>
      <c r="E453" s="8" t="inlineStr">
        <is>
          <t>Andrew Moore</t>
        </is>
      </c>
      <c r="F453" s="8" t="inlineStr">
        <is>
          <t>andrew@highriselightingpowerllc.com</t>
        </is>
      </c>
      <c r="G453" s="8" t="inlineStr">
        <is>
          <t>702-555-8925</t>
        </is>
      </c>
      <c r="H453" s="9" t="inlineStr">
        <is>
          <t>DOT43263</t>
        </is>
      </c>
      <c r="I453" s="11" t="n">
        <v>0.346</v>
      </c>
      <c r="J453" s="8" t="inlineStr">
        <is>
          <t>Express Engine Bay Hose Thermal Crack Hazard</t>
        </is>
      </c>
      <c r="K453" s="9" t="inlineStr">
        <is>
          <t>Audit Run</t>
        </is>
      </c>
      <c r="L453" s="12">
        <f>IF(C453&gt;0, 99 + (C453 * 2.5), 0)</f>
        <v/>
      </c>
    </row>
    <row r="454">
      <c r="A454" s="13" t="inlineStr">
        <is>
          <t>Henderson Electric Pros LLC</t>
        </is>
      </c>
      <c r="B454" s="14" t="inlineStr">
        <is>
          <t>Electrical Services</t>
        </is>
      </c>
      <c r="C454" s="15" t="n">
        <v>40</v>
      </c>
      <c r="D454" s="13" t="inlineStr">
        <is>
          <t>Chevy Express 3500</t>
        </is>
      </c>
      <c r="E454" s="13" t="inlineStr">
        <is>
          <t>Thomas Anderson</t>
        </is>
      </c>
      <c r="F454" s="13" t="inlineStr">
        <is>
          <t>thomas@hendersonelectricprosllc.com</t>
        </is>
      </c>
      <c r="G454" s="13" t="inlineStr">
        <is>
          <t>702-555-3650</t>
        </is>
      </c>
      <c r="H454" s="14" t="inlineStr">
        <is>
          <t>DOT23143</t>
        </is>
      </c>
      <c r="I454" s="16" t="n">
        <v>0.106</v>
      </c>
      <c r="J454" s="13" t="inlineStr">
        <is>
          <t>Express Engine Bay Hose Thermal Crack Hazard</t>
        </is>
      </c>
      <c r="K454" s="14" t="inlineStr">
        <is>
          <t>Warm Prospect</t>
        </is>
      </c>
      <c r="L454" s="17">
        <f>IF(C454&gt;0, 99 + (C454 * 2.5), 0)</f>
        <v/>
      </c>
    </row>
    <row r="455">
      <c r="A455" s="8" t="inlineStr">
        <is>
          <t>Henderson Lighting &amp; Power Group</t>
        </is>
      </c>
      <c r="B455" s="9" t="inlineStr">
        <is>
          <t>Electrical Services</t>
        </is>
      </c>
      <c r="C455" s="10" t="n">
        <v>51</v>
      </c>
      <c r="D455" s="8" t="inlineStr">
        <is>
          <t>Chevy Express 2500</t>
        </is>
      </c>
      <c r="E455" s="8" t="inlineStr">
        <is>
          <t>Anthony Smith</t>
        </is>
      </c>
      <c r="F455" s="8" t="inlineStr">
        <is>
          <t>anthony@hendersonlightingpowergroup.com</t>
        </is>
      </c>
      <c r="G455" s="8" t="inlineStr">
        <is>
          <t>702-555-2492</t>
        </is>
      </c>
      <c r="H455" s="9" t="inlineStr">
        <is>
          <t>DOT29048</t>
        </is>
      </c>
      <c r="I455" s="11" t="n">
        <v>0.186</v>
      </c>
      <c r="J455" s="8" t="inlineStr">
        <is>
          <t>Express Engine Bay Hose Thermal Crack Hazard</t>
        </is>
      </c>
      <c r="K455" s="9" t="inlineStr">
        <is>
          <t>Audit Run</t>
        </is>
      </c>
      <c r="L455" s="12">
        <f>IF(C455&gt;0, 99 + (C455 * 2.5), 0)</f>
        <v/>
      </c>
    </row>
    <row r="456">
      <c r="A456" s="13" t="inlineStr">
        <is>
          <t>Apex Electric &amp; Solar LLC</t>
        </is>
      </c>
      <c r="B456" s="14" t="inlineStr">
        <is>
          <t>Electrical Services</t>
        </is>
      </c>
      <c r="C456" s="15" t="n">
        <v>104</v>
      </c>
      <c r="D456" s="13" t="inlineStr">
        <is>
          <t>Chevy Express 3500</t>
        </is>
      </c>
      <c r="E456" s="13" t="inlineStr">
        <is>
          <t>James Martin</t>
        </is>
      </c>
      <c r="F456" s="13" t="inlineStr">
        <is>
          <t>james@apexelectricsolarllc.com</t>
        </is>
      </c>
      <c r="G456" s="13" t="inlineStr">
        <is>
          <t>702-555-1618</t>
        </is>
      </c>
      <c r="H456" s="14" t="inlineStr">
        <is>
          <t>DOT60374</t>
        </is>
      </c>
      <c r="I456" s="16" t="n">
        <v>0.329</v>
      </c>
      <c r="J456" s="13" t="inlineStr">
        <is>
          <t>Express Engine Bay Hose Thermal Crack Hazard</t>
        </is>
      </c>
      <c r="K456" s="14" t="inlineStr">
        <is>
          <t>Warm Prospect</t>
        </is>
      </c>
      <c r="L456" s="17">
        <f>IF(C456&gt;0, 99 + (C456 * 2.5), 0)</f>
        <v/>
      </c>
    </row>
    <row r="457">
      <c r="A457" s="8" t="inlineStr">
        <is>
          <t>Vegas Valley Logistics LLC</t>
        </is>
      </c>
      <c r="B457" s="9" t="inlineStr">
        <is>
          <t>Boutique Transit</t>
        </is>
      </c>
      <c r="C457" s="10" t="n">
        <v>24</v>
      </c>
      <c r="D457" s="8" t="inlineStr">
        <is>
          <t>Ford Transit 350</t>
        </is>
      </c>
      <c r="E457" s="8" t="inlineStr">
        <is>
          <t>William Thomas</t>
        </is>
      </c>
      <c r="F457" s="8" t="inlineStr">
        <is>
          <t>william@vegasvalleylogisticsllc.com</t>
        </is>
      </c>
      <c r="G457" s="8" t="inlineStr">
        <is>
          <t>702-555-8192</t>
        </is>
      </c>
      <c r="H457" s="9" t="inlineStr">
        <is>
          <t>DOT11403</t>
        </is>
      </c>
      <c r="I457" s="11" t="n">
        <v>0.103</v>
      </c>
      <c r="J457" s="8" t="inlineStr">
        <is>
          <t>Transit 114°F Electrical Module Overheat Wire Ground Fire Risk</t>
        </is>
      </c>
      <c r="K457" s="9" t="inlineStr">
        <is>
          <t>Audit Run</t>
        </is>
      </c>
      <c r="L457" s="12">
        <f>IF(C457&gt;0, 99 + (C457 * 2.5), 0)</f>
        <v/>
      </c>
    </row>
    <row r="458">
      <c r="A458" s="13" t="inlineStr">
        <is>
          <t>Sunset Electric &amp; Solar Group</t>
        </is>
      </c>
      <c r="B458" s="14" t="inlineStr">
        <is>
          <t>Electrical Services</t>
        </is>
      </c>
      <c r="C458" s="15" t="n">
        <v>53</v>
      </c>
      <c r="D458" s="13" t="inlineStr">
        <is>
          <t>Chevy Express 3500</t>
        </is>
      </c>
      <c r="E458" s="13" t="inlineStr">
        <is>
          <t>Michael Lopez</t>
        </is>
      </c>
      <c r="F458" s="13" t="inlineStr">
        <is>
          <t>michael@sunsetelectricsolargroup.com</t>
        </is>
      </c>
      <c r="G458" s="13" t="inlineStr">
        <is>
          <t>702-555-4919</t>
        </is>
      </c>
      <c r="H458" s="14" t="inlineStr">
        <is>
          <t>DOT95854</t>
        </is>
      </c>
      <c r="I458" s="16" t="n">
        <v>0.04</v>
      </c>
      <c r="J458" s="13" t="inlineStr">
        <is>
          <t>Express Engine Bay Hose Thermal Crack Hazard</t>
        </is>
      </c>
      <c r="K458" s="14" t="inlineStr">
        <is>
          <t>Warm Prospect</t>
        </is>
      </c>
      <c r="L458" s="17">
        <f>IF(C458&gt;0, 99 + (C458 * 2.5), 0)</f>
        <v/>
      </c>
    </row>
    <row r="459">
      <c r="A459" s="8" t="inlineStr">
        <is>
          <t>Mojave Comfort Heating LLC</t>
        </is>
      </c>
      <c r="B459" s="9" t="inlineStr">
        <is>
          <t>HVAC/Plumbing</t>
        </is>
      </c>
      <c r="C459" s="10" t="n">
        <v>113</v>
      </c>
      <c r="D459" s="8" t="inlineStr">
        <is>
          <t>GMC Savana 2500</t>
        </is>
      </c>
      <c r="E459" s="8" t="inlineStr">
        <is>
          <t>Joshua Miller</t>
        </is>
      </c>
      <c r="F459" s="8" t="inlineStr">
        <is>
          <t>joshua@mojavecomfortheatingllc.com</t>
        </is>
      </c>
      <c r="G459" s="8" t="inlineStr">
        <is>
          <t>702-555-9482</t>
        </is>
      </c>
      <c r="H459" s="9" t="inlineStr">
        <is>
          <t>DOT12014</t>
        </is>
      </c>
      <c r="I459" s="11" t="n">
        <v>0.268</v>
      </c>
      <c r="J459" s="8" t="inlineStr">
        <is>
          <t>Savana Desert Fuel Line Seal Degradation Failure</t>
        </is>
      </c>
      <c r="K459" s="9" t="inlineStr">
        <is>
          <t>Warm Prospect</t>
        </is>
      </c>
      <c r="L459" s="12">
        <f>IF(C459&gt;0, 99 + (C459 * 2.5), 0)</f>
        <v/>
      </c>
    </row>
    <row r="460">
      <c r="A460" s="13" t="inlineStr">
        <is>
          <t>High Rise HVAC Services Group</t>
        </is>
      </c>
      <c r="B460" s="14" t="inlineStr">
        <is>
          <t>HVAC/Plumbing</t>
        </is>
      </c>
      <c r="C460" s="15" t="n">
        <v>99</v>
      </c>
      <c r="D460" s="13" t="inlineStr">
        <is>
          <t>Chevy Express 2500</t>
        </is>
      </c>
      <c r="E460" s="13" t="inlineStr">
        <is>
          <t>Matthew Rodriguez</t>
        </is>
      </c>
      <c r="F460" s="13" t="inlineStr">
        <is>
          <t>matthew@highrisehvacservicesgroup.com</t>
        </is>
      </c>
      <c r="G460" s="13" t="inlineStr">
        <is>
          <t>702-555-4707</t>
        </is>
      </c>
      <c r="H460" s="14" t="inlineStr">
        <is>
          <t>DOT89477</t>
        </is>
      </c>
      <c r="I460" s="16" t="n">
        <v>0.339</v>
      </c>
      <c r="J460" s="13" t="inlineStr">
        <is>
          <t>Express Engine Bay Hose Thermal Crack Hazard</t>
        </is>
      </c>
      <c r="K460" s="14" t="inlineStr">
        <is>
          <t>Warm Prospect</t>
        </is>
      </c>
      <c r="L460" s="17">
        <f>IF(C460&gt;0, 99 + (C460 * 2.5), 0)</f>
        <v/>
      </c>
    </row>
    <row r="461">
      <c r="A461" s="8" t="inlineStr">
        <is>
          <t>Las Vegas Electric &amp; Solar LLC</t>
        </is>
      </c>
      <c r="B461" s="9" t="inlineStr">
        <is>
          <t>Electrical Services</t>
        </is>
      </c>
      <c r="C461" s="10" t="n">
        <v>114</v>
      </c>
      <c r="D461" s="8" t="inlineStr">
        <is>
          <t>Chevy Express 3500</t>
        </is>
      </c>
      <c r="E461" s="8" t="inlineStr">
        <is>
          <t>Paul Brown</t>
        </is>
      </c>
      <c r="F461" s="8" t="inlineStr">
        <is>
          <t>paul@lasvegaselectricsolarllc.com</t>
        </is>
      </c>
      <c r="G461" s="8" t="inlineStr">
        <is>
          <t>702-555-2185</t>
        </is>
      </c>
      <c r="H461" s="9" t="inlineStr">
        <is>
          <t>DOT75951</t>
        </is>
      </c>
      <c r="I461" s="11" t="n">
        <v>0.131</v>
      </c>
      <c r="J461" s="8" t="inlineStr">
        <is>
          <t>Express Engine Bay Hose Thermal Crack Hazard</t>
        </is>
      </c>
      <c r="K461" s="9" t="inlineStr">
        <is>
          <t>Warm Prospect</t>
        </is>
      </c>
      <c r="L461" s="12">
        <f>IF(C461&gt;0, 99 + (C461 * 2.5), 0)</f>
        <v/>
      </c>
    </row>
    <row r="462">
      <c r="A462" s="13" t="inlineStr">
        <is>
          <t>Mojave Logistics Group</t>
        </is>
      </c>
      <c r="B462" s="14" t="inlineStr">
        <is>
          <t>Boutique Transit</t>
        </is>
      </c>
      <c r="C462" s="15" t="n">
        <v>123</v>
      </c>
      <c r="D462" s="13" t="inlineStr">
        <is>
          <t>Mercedes-Benz Sprinter 3500</t>
        </is>
      </c>
      <c r="E462" s="13" t="inlineStr">
        <is>
          <t>Anthony Jackson</t>
        </is>
      </c>
      <c r="F462" s="13" t="inlineStr">
        <is>
          <t>anthony@mojavelogisticsgroup.com</t>
        </is>
      </c>
      <c r="G462" s="13" t="inlineStr">
        <is>
          <t>702-555-8923</t>
        </is>
      </c>
      <c r="H462" s="14" t="inlineStr">
        <is>
          <t>DOT41886</t>
        </is>
      </c>
      <c r="I462" s="16" t="n">
        <v>0.275</v>
      </c>
      <c r="J462" s="13" t="inlineStr">
        <is>
          <t>Sprinter AC Comp Condensation Drain Backup Wiring Short</t>
        </is>
      </c>
      <c r="K462" s="14" t="inlineStr">
        <is>
          <t>Warm Prospect</t>
        </is>
      </c>
      <c r="L462" s="17">
        <f>IF(C462&gt;0, 99 + (C462 * 2.5), 0)</f>
        <v/>
      </c>
    </row>
    <row r="463">
      <c r="A463" s="8" t="inlineStr">
        <is>
          <t>First Choice Logistics Inc</t>
        </is>
      </c>
      <c r="B463" s="9" t="inlineStr">
        <is>
          <t>Boutique Transit</t>
        </is>
      </c>
      <c r="C463" s="10" t="n">
        <v>39</v>
      </c>
      <c r="D463" s="8" t="inlineStr">
        <is>
          <t>Mercedes-Benz Sprinter 3500</t>
        </is>
      </c>
      <c r="E463" s="8" t="inlineStr">
        <is>
          <t>Charles Williams</t>
        </is>
      </c>
      <c r="F463" s="8" t="inlineStr">
        <is>
          <t>charles@firstchoicelogisticsinc.com</t>
        </is>
      </c>
      <c r="G463" s="8" t="inlineStr">
        <is>
          <t>702-555-7269</t>
        </is>
      </c>
      <c r="H463" s="9" t="inlineStr">
        <is>
          <t>DOT93055</t>
        </is>
      </c>
      <c r="I463" s="11" t="n">
        <v>0.284</v>
      </c>
      <c r="J463" s="8" t="inlineStr">
        <is>
          <t>Sprinter AC Comp Condensation Drain Backup Wiring Short</t>
        </is>
      </c>
      <c r="K463" s="9" t="inlineStr">
        <is>
          <t>Warm Prospect</t>
        </is>
      </c>
      <c r="L463" s="12">
        <f>IF(C463&gt;0, 99 + (C463 * 2.5), 0)</f>
        <v/>
      </c>
    </row>
    <row r="464">
      <c r="A464" s="13" t="inlineStr">
        <is>
          <t>Clark County Airport Express LLC</t>
        </is>
      </c>
      <c r="B464" s="14" t="inlineStr">
        <is>
          <t>Boutique Transit</t>
        </is>
      </c>
      <c r="C464" s="15" t="n">
        <v>100</v>
      </c>
      <c r="D464" s="13" t="inlineStr">
        <is>
          <t>Mercedes-Benz Sprinter 3500</t>
        </is>
      </c>
      <c r="E464" s="13" t="inlineStr">
        <is>
          <t>Paul Moore</t>
        </is>
      </c>
      <c r="F464" s="13" t="inlineStr">
        <is>
          <t>paul@clarkcountyairportexpressllc.com</t>
        </is>
      </c>
      <c r="G464" s="13" t="inlineStr">
        <is>
          <t>702-555-1159</t>
        </is>
      </c>
      <c r="H464" s="14" t="inlineStr">
        <is>
          <t>DOT44517</t>
        </is>
      </c>
      <c r="I464" s="16" t="n">
        <v>0.117</v>
      </c>
      <c r="J464" s="13" t="inlineStr">
        <is>
          <t>Sprinter AC Comp Condensation Drain Backup Wiring Short</t>
        </is>
      </c>
      <c r="K464" s="14" t="inlineStr">
        <is>
          <t>Warm Prospect</t>
        </is>
      </c>
      <c r="L464" s="17">
        <f>IF(C464&gt;0, 99 + (C464 * 2.5), 0)</f>
        <v/>
      </c>
    </row>
    <row r="465">
      <c r="A465" s="8" t="inlineStr">
        <is>
          <t>Vegas Valley Electric Pros LLC</t>
        </is>
      </c>
      <c r="B465" s="9" t="inlineStr">
        <is>
          <t>Electrical Services</t>
        </is>
      </c>
      <c r="C465" s="10" t="n">
        <v>55</v>
      </c>
      <c r="D465" s="8" t="inlineStr">
        <is>
          <t>Chevy Express 2500</t>
        </is>
      </c>
      <c r="E465" s="8" t="inlineStr">
        <is>
          <t>Steven Hernandez</t>
        </is>
      </c>
      <c r="F465" s="8" t="inlineStr">
        <is>
          <t>steven@vegasvalleyelectricprosllc.com</t>
        </is>
      </c>
      <c r="G465" s="8" t="inlineStr">
        <is>
          <t>702-555-6792</t>
        </is>
      </c>
      <c r="H465" s="9" t="inlineStr">
        <is>
          <t>DOT38647</t>
        </is>
      </c>
      <c r="I465" s="11" t="n">
        <v>0.317</v>
      </c>
      <c r="J465" s="8" t="inlineStr">
        <is>
          <t>Express Engine Bay Hose Thermal Crack Hazard</t>
        </is>
      </c>
      <c r="K465" s="9" t="inlineStr">
        <is>
          <t>Warm Prospect</t>
        </is>
      </c>
      <c r="L465" s="12">
        <f>IF(C465&gt;0, 99 + (C465 * 2.5), 0)</f>
        <v/>
      </c>
    </row>
    <row r="466">
      <c r="A466" s="13" t="inlineStr">
        <is>
          <t>Clark County Mechanical Services Inc</t>
        </is>
      </c>
      <c r="B466" s="14" t="inlineStr">
        <is>
          <t>HVAC/Plumbing</t>
        </is>
      </c>
      <c r="C466" s="15" t="n">
        <v>61</v>
      </c>
      <c r="D466" s="13" t="inlineStr">
        <is>
          <t>GMC Savana 2500</t>
        </is>
      </c>
      <c r="E466" s="13" t="inlineStr">
        <is>
          <t>Thomas Davis</t>
        </is>
      </c>
      <c r="F466" s="13" t="inlineStr">
        <is>
          <t>thomas@clarkcountymechanicalservicesinc.com</t>
        </is>
      </c>
      <c r="G466" s="13" t="inlineStr">
        <is>
          <t>702-555-5348</t>
        </is>
      </c>
      <c r="H466" s="14" t="inlineStr">
        <is>
          <t>DOT37102</t>
        </is>
      </c>
      <c r="I466" s="16" t="n">
        <v>0.111</v>
      </c>
      <c r="J466" s="13" t="inlineStr">
        <is>
          <t>Savana Desert Fuel Line Seal Degradation Failure</t>
        </is>
      </c>
      <c r="K466" s="14" t="inlineStr">
        <is>
          <t>Warm Prospect</t>
        </is>
      </c>
      <c r="L466" s="17">
        <f>IF(C466&gt;0, 99 + (C466 * 2.5), 0)</f>
        <v/>
      </c>
    </row>
    <row r="467">
      <c r="A467" s="8" t="inlineStr">
        <is>
          <t>Valley Airport Express Inc</t>
        </is>
      </c>
      <c r="B467" s="9" t="inlineStr">
        <is>
          <t>Boutique Transit</t>
        </is>
      </c>
      <c r="C467" s="10" t="n">
        <v>30</v>
      </c>
      <c r="D467" s="8" t="inlineStr">
        <is>
          <t>Mercedes-Benz Sprinter 2500</t>
        </is>
      </c>
      <c r="E467" s="8" t="inlineStr">
        <is>
          <t>Steven Martin</t>
        </is>
      </c>
      <c r="F467" s="8" t="inlineStr">
        <is>
          <t>steven@valleyairportexpressinc.com</t>
        </is>
      </c>
      <c r="G467" s="8" t="inlineStr">
        <is>
          <t>702-555-1108</t>
        </is>
      </c>
      <c r="H467" s="9" t="inlineStr">
        <is>
          <t>DOT80972</t>
        </is>
      </c>
      <c r="I467" s="11" t="n">
        <v>0.337</v>
      </c>
      <c r="J467" s="8" t="inlineStr">
        <is>
          <t>Sprinter AC Comp Condensation Drain Backup Wiring Short</t>
        </is>
      </c>
      <c r="K467" s="9" t="inlineStr">
        <is>
          <t>Warm Prospect</t>
        </is>
      </c>
      <c r="L467" s="12">
        <f>IF(C467&gt;0, 99 + (C467 * 2.5), 0)</f>
        <v/>
      </c>
    </row>
    <row r="468">
      <c r="A468" s="13" t="inlineStr">
        <is>
          <t>Las Vegas Electrical Contractors LLC</t>
        </is>
      </c>
      <c r="B468" s="14" t="inlineStr">
        <is>
          <t>Electrical Services</t>
        </is>
      </c>
      <c r="C468" s="15" t="n">
        <v>135</v>
      </c>
      <c r="D468" s="13" t="inlineStr">
        <is>
          <t>Ram ProMaster 2500</t>
        </is>
      </c>
      <c r="E468" s="13" t="inlineStr">
        <is>
          <t>William Taylor</t>
        </is>
      </c>
      <c r="F468" s="13" t="inlineStr">
        <is>
          <t>william@lasvegaselectricalcontractorsllc.com</t>
        </is>
      </c>
      <c r="G468" s="13" t="inlineStr">
        <is>
          <t>702-555-5591</t>
        </is>
      </c>
      <c r="H468" s="14" t="inlineStr">
        <is>
          <t>DOT62150</t>
        </is>
      </c>
      <c r="I468" s="16" t="n">
        <v>0.109</v>
      </c>
      <c r="J468" s="13" t="inlineStr">
        <is>
          <t>ProMaster Brake Line Rubbing Collision Abrasion Leak</t>
        </is>
      </c>
      <c r="K468" s="14" t="inlineStr">
        <is>
          <t>Audit Run</t>
        </is>
      </c>
      <c r="L468" s="17">
        <f>IF(C468&gt;0, 99 + (C468 * 2.5), 0)</f>
        <v/>
      </c>
    </row>
    <row r="469">
      <c r="A469" s="8" t="inlineStr">
        <is>
          <t>Silver State Plumbing Experts LLC</t>
        </is>
      </c>
      <c r="B469" s="9" t="inlineStr">
        <is>
          <t>HVAC/Plumbing</t>
        </is>
      </c>
      <c r="C469" s="10" t="n">
        <v>148</v>
      </c>
      <c r="D469" s="8" t="inlineStr">
        <is>
          <t>GMC Savana 2500</t>
        </is>
      </c>
      <c r="E469" s="8" t="inlineStr">
        <is>
          <t>Michael Taylor</t>
        </is>
      </c>
      <c r="F469" s="8" t="inlineStr">
        <is>
          <t>michael@silverstateplumbingexpertsllc.com</t>
        </is>
      </c>
      <c r="G469" s="8" t="inlineStr">
        <is>
          <t>702-555-6689</t>
        </is>
      </c>
      <c r="H469" s="9" t="inlineStr">
        <is>
          <t>DOT61605</t>
        </is>
      </c>
      <c r="I469" s="11" t="n">
        <v>0.307</v>
      </c>
      <c r="J469" s="8" t="inlineStr">
        <is>
          <t>Savana Desert Fuel Line Seal Degradation Failure</t>
        </is>
      </c>
      <c r="K469" s="9" t="inlineStr">
        <is>
          <t>Warm Prospect</t>
        </is>
      </c>
      <c r="L469" s="12">
        <f>IF(C469&gt;0, 99 + (C469 * 2.5), 0)</f>
        <v/>
      </c>
    </row>
    <row r="470">
      <c r="A470" s="13" t="inlineStr">
        <is>
          <t>Apex Electric Pros Group</t>
        </is>
      </c>
      <c r="B470" s="14" t="inlineStr">
        <is>
          <t>Electrical Services</t>
        </is>
      </c>
      <c r="C470" s="15" t="n">
        <v>90</v>
      </c>
      <c r="D470" s="13" t="inlineStr">
        <is>
          <t>Ram ProMaster 1500</t>
        </is>
      </c>
      <c r="E470" s="13" t="inlineStr">
        <is>
          <t>John Smith</t>
        </is>
      </c>
      <c r="F470" s="13" t="inlineStr">
        <is>
          <t>john@apexelectricprosgroup.com</t>
        </is>
      </c>
      <c r="G470" s="13" t="inlineStr">
        <is>
          <t>702-555-4452</t>
        </is>
      </c>
      <c r="H470" s="14" t="inlineStr">
        <is>
          <t>DOT59732</t>
        </is>
      </c>
      <c r="I470" s="16" t="n">
        <v>0.22</v>
      </c>
      <c r="J470" s="13" t="inlineStr">
        <is>
          <t>ProMaster Brake Line Rubbing Collision Abrasion Leak</t>
        </is>
      </c>
      <c r="K470" s="14" t="inlineStr">
        <is>
          <t>Warm Prospect</t>
        </is>
      </c>
      <c r="L470" s="17">
        <f>IF(C470&gt;0, 99 + (C470 * 2.5), 0)</f>
        <v/>
      </c>
    </row>
    <row r="471">
      <c r="A471" s="8" t="inlineStr">
        <is>
          <t>Las Vegas Electrical Contractors Inc</t>
        </is>
      </c>
      <c r="B471" s="9" t="inlineStr">
        <is>
          <t>Electrical Services</t>
        </is>
      </c>
      <c r="C471" s="10" t="n">
        <v>70</v>
      </c>
      <c r="D471" s="8" t="inlineStr">
        <is>
          <t>Ram ProMaster 2500</t>
        </is>
      </c>
      <c r="E471" s="8" t="inlineStr">
        <is>
          <t>Charles Thomas</t>
        </is>
      </c>
      <c r="F471" s="8" t="inlineStr">
        <is>
          <t>charles@lasvegaselectricalcontractorsinc.com</t>
        </is>
      </c>
      <c r="G471" s="8" t="inlineStr">
        <is>
          <t>702-555-6621</t>
        </is>
      </c>
      <c r="H471" s="9" t="inlineStr">
        <is>
          <t>DOT57962</t>
        </is>
      </c>
      <c r="I471" s="11" t="n">
        <v>0.097</v>
      </c>
      <c r="J471" s="8" t="inlineStr">
        <is>
          <t>ProMaster Brake Line Rubbing Collision Abrasion Leak</t>
        </is>
      </c>
      <c r="K471" s="9" t="inlineStr">
        <is>
          <t>Warm Prospect</t>
        </is>
      </c>
      <c r="L471" s="12">
        <f>IF(C471&gt;0, 99 + (C471 * 2.5), 0)</f>
        <v/>
      </c>
    </row>
    <row r="472">
      <c r="A472" s="13" t="inlineStr">
        <is>
          <t>Titan Mechanical Services LLC</t>
        </is>
      </c>
      <c r="B472" s="14" t="inlineStr">
        <is>
          <t>HVAC/Plumbing</t>
        </is>
      </c>
      <c r="C472" s="15" t="n">
        <v>112</v>
      </c>
      <c r="D472" s="13" t="inlineStr">
        <is>
          <t>Ford Transit 150</t>
        </is>
      </c>
      <c r="E472" s="13" t="inlineStr">
        <is>
          <t>Charles Anderson</t>
        </is>
      </c>
      <c r="F472" s="13" t="inlineStr">
        <is>
          <t>charles@titanmechanicalservicesllc.com</t>
        </is>
      </c>
      <c r="G472" s="13" t="inlineStr">
        <is>
          <t>702-555-3947</t>
        </is>
      </c>
      <c r="H472" s="14" t="inlineStr">
        <is>
          <t>DOT84895</t>
        </is>
      </c>
      <c r="I472" s="16" t="n">
        <v>0.081</v>
      </c>
      <c r="J472" s="13" t="inlineStr">
        <is>
          <t>Transit 114°F Electrical Module Overheat Wire Ground Fire Risk</t>
        </is>
      </c>
      <c r="K472" s="14" t="inlineStr">
        <is>
          <t>Audit Run</t>
        </is>
      </c>
      <c r="L472" s="17">
        <f>IF(C472&gt;0, 99 + (C472 * 2.5), 0)</f>
        <v/>
      </c>
    </row>
    <row r="473">
      <c r="A473" s="8" t="inlineStr">
        <is>
          <t>Sunset Shuttles Group</t>
        </is>
      </c>
      <c r="B473" s="9" t="inlineStr">
        <is>
          <t>Boutique Transit</t>
        </is>
      </c>
      <c r="C473" s="10" t="n">
        <v>70</v>
      </c>
      <c r="D473" s="8" t="inlineStr">
        <is>
          <t>Mercedes-Benz Sprinter 3500</t>
        </is>
      </c>
      <c r="E473" s="8" t="inlineStr">
        <is>
          <t>Andrew Wilson</t>
        </is>
      </c>
      <c r="F473" s="8" t="inlineStr">
        <is>
          <t>andrew@sunsetshuttlesgroup.com</t>
        </is>
      </c>
      <c r="G473" s="8" t="inlineStr">
        <is>
          <t>702-555-7240</t>
        </is>
      </c>
      <c r="H473" s="9" t="inlineStr">
        <is>
          <t>DOT35698</t>
        </is>
      </c>
      <c r="I473" s="11" t="n">
        <v>0.08500000000000001</v>
      </c>
      <c r="J473" s="8" t="inlineStr">
        <is>
          <t>Sprinter AC Comp Condensation Drain Backup Wiring Short</t>
        </is>
      </c>
      <c r="K473" s="9" t="inlineStr">
        <is>
          <t>Warm Prospect</t>
        </is>
      </c>
      <c r="L473" s="12">
        <f>IF(C473&gt;0, 99 + (C473 * 2.5), 0)</f>
        <v/>
      </c>
    </row>
    <row r="474">
      <c r="A474" s="13" t="inlineStr">
        <is>
          <t>Henderson Electric &amp; Solar Inc</t>
        </is>
      </c>
      <c r="B474" s="14" t="inlineStr">
        <is>
          <t>Electrical Services</t>
        </is>
      </c>
      <c r="C474" s="15" t="n">
        <v>137</v>
      </c>
      <c r="D474" s="13" t="inlineStr">
        <is>
          <t>Ram ProMaster 1500</t>
        </is>
      </c>
      <c r="E474" s="13" t="inlineStr">
        <is>
          <t>David Taylor</t>
        </is>
      </c>
      <c r="F474" s="13" t="inlineStr">
        <is>
          <t>david@hendersonelectricsolarinc.com</t>
        </is>
      </c>
      <c r="G474" s="13" t="inlineStr">
        <is>
          <t>702-555-9748</t>
        </is>
      </c>
      <c r="H474" s="14" t="inlineStr">
        <is>
          <t>DOT51383</t>
        </is>
      </c>
      <c r="I474" s="16" t="n">
        <v>0.283</v>
      </c>
      <c r="J474" s="13" t="inlineStr">
        <is>
          <t>ProMaster Brake Line Rubbing Collision Abrasion Leak</t>
        </is>
      </c>
      <c r="K474" s="14" t="inlineStr">
        <is>
          <t>Warm Prospect</t>
        </is>
      </c>
      <c r="L474" s="17">
        <f>IF(C474&gt;0, 99 + (C474 * 2.5), 0)</f>
        <v/>
      </c>
    </row>
    <row r="475">
      <c r="A475" s="8" t="inlineStr">
        <is>
          <t>High Rise Lighting &amp; Power Inc</t>
        </is>
      </c>
      <c r="B475" s="9" t="inlineStr">
        <is>
          <t>Electrical Services</t>
        </is>
      </c>
      <c r="C475" s="10" t="n">
        <v>35</v>
      </c>
      <c r="D475" s="8" t="inlineStr">
        <is>
          <t>Ram ProMaster 1500</t>
        </is>
      </c>
      <c r="E475" s="8" t="inlineStr">
        <is>
          <t>William Johnson</t>
        </is>
      </c>
      <c r="F475" s="8" t="inlineStr">
        <is>
          <t>william@highriselightingpowerinc.com</t>
        </is>
      </c>
      <c r="G475" s="8" t="inlineStr">
        <is>
          <t>702-555-4530</t>
        </is>
      </c>
      <c r="H475" s="9" t="inlineStr">
        <is>
          <t>DOT43330</t>
        </is>
      </c>
      <c r="I475" s="11" t="n">
        <v>0.188</v>
      </c>
      <c r="J475" s="8" t="inlineStr">
        <is>
          <t>ProMaster Brake Line Rubbing Collision Abrasion Leak</t>
        </is>
      </c>
      <c r="K475" s="9" t="inlineStr">
        <is>
          <t>Warm Prospect</t>
        </is>
      </c>
      <c r="L475" s="12">
        <f>IF(C475&gt;0, 99 + (C475 * 2.5), 0)</f>
        <v/>
      </c>
    </row>
    <row r="476">
      <c r="A476" s="13" t="inlineStr">
        <is>
          <t>Clark County Electrical Contractors LLC</t>
        </is>
      </c>
      <c r="B476" s="14" t="inlineStr">
        <is>
          <t>Electrical Services</t>
        </is>
      </c>
      <c r="C476" s="15" t="n">
        <v>102</v>
      </c>
      <c r="D476" s="13" t="inlineStr">
        <is>
          <t>Ram ProMaster 2500</t>
        </is>
      </c>
      <c r="E476" s="13" t="inlineStr">
        <is>
          <t>Andrew Moore</t>
        </is>
      </c>
      <c r="F476" s="13" t="inlineStr">
        <is>
          <t>andrew@clarkcountyelectricalcontractorsllc.com</t>
        </is>
      </c>
      <c r="G476" s="13" t="inlineStr">
        <is>
          <t>702-555-5222</t>
        </is>
      </c>
      <c r="H476" s="14" t="inlineStr">
        <is>
          <t>DOT55107</t>
        </is>
      </c>
      <c r="I476" s="16" t="n">
        <v>0.046</v>
      </c>
      <c r="J476" s="13" t="inlineStr">
        <is>
          <t>ProMaster Brake Line Rubbing Collision Abrasion Leak</t>
        </is>
      </c>
      <c r="K476" s="14" t="inlineStr">
        <is>
          <t>Warm Prospect</t>
        </is>
      </c>
      <c r="L476" s="17">
        <f>IF(C476&gt;0, 99 + (C476 * 2.5), 0)</f>
        <v/>
      </c>
    </row>
    <row r="477">
      <c r="A477" s="8" t="inlineStr">
        <is>
          <t>Summerlin Electric Pros Group</t>
        </is>
      </c>
      <c r="B477" s="9" t="inlineStr">
        <is>
          <t>Electrical Services</t>
        </is>
      </c>
      <c r="C477" s="10" t="n">
        <v>147</v>
      </c>
      <c r="D477" s="8" t="inlineStr">
        <is>
          <t>Chevy Express 3500</t>
        </is>
      </c>
      <c r="E477" s="8" t="inlineStr">
        <is>
          <t>William Martinez</t>
        </is>
      </c>
      <c r="F477" s="8" t="inlineStr">
        <is>
          <t>william@summerlinelectricprosgroup.com</t>
        </is>
      </c>
      <c r="G477" s="8" t="inlineStr">
        <is>
          <t>702-555-6818</t>
        </is>
      </c>
      <c r="H477" s="9" t="inlineStr">
        <is>
          <t>DOT52610</t>
        </is>
      </c>
      <c r="I477" s="11" t="n">
        <v>0.249</v>
      </c>
      <c r="J477" s="8" t="inlineStr">
        <is>
          <t>Express Engine Bay Hose Thermal Crack Hazard</t>
        </is>
      </c>
      <c r="K477" s="9" t="inlineStr">
        <is>
          <t>Warm Prospect</t>
        </is>
      </c>
      <c r="L477" s="12">
        <f>IF(C477&gt;0, 99 + (C477 * 2.5), 0)</f>
        <v/>
      </c>
    </row>
    <row r="478">
      <c r="A478" s="13" t="inlineStr">
        <is>
          <t>First Choice Shuttles LLC</t>
        </is>
      </c>
      <c r="B478" s="14" t="inlineStr">
        <is>
          <t>Boutique Transit</t>
        </is>
      </c>
      <c r="C478" s="15" t="n">
        <v>83</v>
      </c>
      <c r="D478" s="13" t="inlineStr">
        <is>
          <t>Ford Transit 350</t>
        </is>
      </c>
      <c r="E478" s="13" t="inlineStr">
        <is>
          <t>Donald Jones</t>
        </is>
      </c>
      <c r="F478" s="13" t="inlineStr">
        <is>
          <t>donald@firstchoiceshuttlesllc.com</t>
        </is>
      </c>
      <c r="G478" s="13" t="inlineStr">
        <is>
          <t>702-555-3745</t>
        </is>
      </c>
      <c r="H478" s="14" t="inlineStr">
        <is>
          <t>DOT93962</t>
        </is>
      </c>
      <c r="I478" s="16" t="n">
        <v>0.29</v>
      </c>
      <c r="J478" s="13" t="inlineStr">
        <is>
          <t>Transit 114°F Electrical Module Overheat Wire Ground Fire Risk</t>
        </is>
      </c>
      <c r="K478" s="14" t="inlineStr">
        <is>
          <t>Warm Prospect</t>
        </is>
      </c>
      <c r="L478" s="17">
        <f>IF(C478&gt;0, 99 + (C478 * 2.5), 0)</f>
        <v/>
      </c>
    </row>
    <row r="479">
      <c r="A479" s="8" t="inlineStr">
        <is>
          <t>Vegas Valley Lighting &amp; Power Group</t>
        </is>
      </c>
      <c r="B479" s="9" t="inlineStr">
        <is>
          <t>Electrical Services</t>
        </is>
      </c>
      <c r="C479" s="10" t="n">
        <v>28</v>
      </c>
      <c r="D479" s="8" t="inlineStr">
        <is>
          <t>Ram ProMaster 1500</t>
        </is>
      </c>
      <c r="E479" s="8" t="inlineStr">
        <is>
          <t>James Garcia</t>
        </is>
      </c>
      <c r="F479" s="8" t="inlineStr">
        <is>
          <t>james@vegasvalleylightingpowergroup.com</t>
        </is>
      </c>
      <c r="G479" s="8" t="inlineStr">
        <is>
          <t>702-555-6629</t>
        </is>
      </c>
      <c r="H479" s="9" t="inlineStr">
        <is>
          <t>DOT39912</t>
        </is>
      </c>
      <c r="I479" s="11" t="n">
        <v>0.137</v>
      </c>
      <c r="J479" s="8" t="inlineStr">
        <is>
          <t>ProMaster Brake Line Rubbing Collision Abrasion Leak</t>
        </is>
      </c>
      <c r="K479" s="9" t="inlineStr">
        <is>
          <t>Warm Prospect</t>
        </is>
      </c>
      <c r="L479" s="12">
        <f>IF(C479&gt;0, 99 + (C479 * 2.5), 0)</f>
        <v/>
      </c>
    </row>
    <row r="480">
      <c r="A480" s="13" t="inlineStr">
        <is>
          <t>Mojave Logistics Group</t>
        </is>
      </c>
      <c r="B480" s="14" t="inlineStr">
        <is>
          <t>Boutique Transit</t>
        </is>
      </c>
      <c r="C480" s="15" t="n">
        <v>79</v>
      </c>
      <c r="D480" s="13" t="inlineStr">
        <is>
          <t>Mercedes-Benz Sprinter 3500</t>
        </is>
      </c>
      <c r="E480" s="13" t="inlineStr">
        <is>
          <t>Donald Lopez</t>
        </is>
      </c>
      <c r="F480" s="13" t="inlineStr">
        <is>
          <t>donald@mojavelogisticsgroup.com</t>
        </is>
      </c>
      <c r="G480" s="13" t="inlineStr">
        <is>
          <t>702-555-9535</t>
        </is>
      </c>
      <c r="H480" s="14" t="inlineStr">
        <is>
          <t>DOT69020</t>
        </is>
      </c>
      <c r="I480" s="16" t="n">
        <v>0.168</v>
      </c>
      <c r="J480" s="13" t="inlineStr">
        <is>
          <t>Sprinter AC Comp Condensation Drain Backup Wiring Short</t>
        </is>
      </c>
      <c r="K480" s="14" t="inlineStr">
        <is>
          <t>Warm Prospect</t>
        </is>
      </c>
      <c r="L480" s="17">
        <f>IF(C480&gt;0, 99 + (C480 * 2.5), 0)</f>
        <v/>
      </c>
    </row>
    <row r="481">
      <c r="A481" s="8" t="inlineStr">
        <is>
          <t>Red Rock Mechanical Services Inc</t>
        </is>
      </c>
      <c r="B481" s="9" t="inlineStr">
        <is>
          <t>HVAC/Plumbing</t>
        </is>
      </c>
      <c r="C481" s="10" t="n">
        <v>30</v>
      </c>
      <c r="D481" s="8" t="inlineStr">
        <is>
          <t>Ford Transit 150</t>
        </is>
      </c>
      <c r="E481" s="8" t="inlineStr">
        <is>
          <t>Richard Garcia</t>
        </is>
      </c>
      <c r="F481" s="8" t="inlineStr">
        <is>
          <t>richard@redrockmechanicalservicesinc.com</t>
        </is>
      </c>
      <c r="G481" s="8" t="inlineStr">
        <is>
          <t>702-555-7505</t>
        </is>
      </c>
      <c r="H481" s="9" t="inlineStr">
        <is>
          <t>DOT23501</t>
        </is>
      </c>
      <c r="I481" s="11" t="n">
        <v>0.07000000000000001</v>
      </c>
      <c r="J481" s="8" t="inlineStr">
        <is>
          <t>Transit 114°F Electrical Module Overheat Wire Ground Fire Risk</t>
        </is>
      </c>
      <c r="K481" s="9" t="inlineStr">
        <is>
          <t>Warm Prospect</t>
        </is>
      </c>
      <c r="L481" s="12">
        <f>IF(C481&gt;0, 99 + (C481 * 2.5), 0)</f>
        <v/>
      </c>
    </row>
    <row r="482">
      <c r="A482" s="13" t="inlineStr">
        <is>
          <t>Silver State Shuttles LLC</t>
        </is>
      </c>
      <c r="B482" s="14" t="inlineStr">
        <is>
          <t>Boutique Transit</t>
        </is>
      </c>
      <c r="C482" s="15" t="n">
        <v>31</v>
      </c>
      <c r="D482" s="13" t="inlineStr">
        <is>
          <t>Ford Transit 350</t>
        </is>
      </c>
      <c r="E482" s="13" t="inlineStr">
        <is>
          <t>Robert Rodriguez</t>
        </is>
      </c>
      <c r="F482" s="13" t="inlineStr">
        <is>
          <t>robert@silverstateshuttlesllc.com</t>
        </is>
      </c>
      <c r="G482" s="13" t="inlineStr">
        <is>
          <t>702-555-3544</t>
        </is>
      </c>
      <c r="H482" s="14" t="inlineStr">
        <is>
          <t>DOT21050</t>
        </is>
      </c>
      <c r="I482" s="16" t="n">
        <v>0.243</v>
      </c>
      <c r="J482" s="13" t="inlineStr">
        <is>
          <t>Transit 114°F Electrical Module Overheat Wire Ground Fire Risk</t>
        </is>
      </c>
      <c r="K482" s="14" t="inlineStr">
        <is>
          <t>Warm Prospect</t>
        </is>
      </c>
      <c r="L482" s="17">
        <f>IF(C482&gt;0, 99 + (C482 * 2.5), 0)</f>
        <v/>
      </c>
    </row>
    <row r="483">
      <c r="A483" s="8" t="inlineStr">
        <is>
          <t>Sunset Power Systems Group</t>
        </is>
      </c>
      <c r="B483" s="9" t="inlineStr">
        <is>
          <t>Electrical Services</t>
        </is>
      </c>
      <c r="C483" s="10" t="n">
        <v>123</v>
      </c>
      <c r="D483" s="8" t="inlineStr">
        <is>
          <t>Ram ProMaster 2500</t>
        </is>
      </c>
      <c r="E483" s="8" t="inlineStr">
        <is>
          <t>David Jones</t>
        </is>
      </c>
      <c r="F483" s="8" t="inlineStr">
        <is>
          <t>david@sunsetpowersystemsgroup.com</t>
        </is>
      </c>
      <c r="G483" s="8" t="inlineStr">
        <is>
          <t>702-555-9630</t>
        </is>
      </c>
      <c r="H483" s="9" t="inlineStr">
        <is>
          <t>DOT32361</t>
        </is>
      </c>
      <c r="I483" s="11" t="n">
        <v>0.049</v>
      </c>
      <c r="J483" s="8" t="inlineStr">
        <is>
          <t>ProMaster Brake Line Rubbing Collision Abrasion Leak</t>
        </is>
      </c>
      <c r="K483" s="9" t="inlineStr">
        <is>
          <t>Warm Prospect</t>
        </is>
      </c>
      <c r="L483" s="12">
        <f>IF(C483&gt;0, 99 + (C483 * 2.5), 0)</f>
        <v/>
      </c>
    </row>
    <row r="484">
      <c r="A484" s="13" t="inlineStr">
        <is>
          <t>Summerlin Wiring Solutions LLC</t>
        </is>
      </c>
      <c r="B484" s="14" t="inlineStr">
        <is>
          <t>Electrical Services</t>
        </is>
      </c>
      <c r="C484" s="15" t="n">
        <v>150</v>
      </c>
      <c r="D484" s="13" t="inlineStr">
        <is>
          <t>Ram ProMaster 2500</t>
        </is>
      </c>
      <c r="E484" s="13" t="inlineStr">
        <is>
          <t>Donald Jones</t>
        </is>
      </c>
      <c r="F484" s="13" t="inlineStr">
        <is>
          <t>donald@summerlinwiringsolutionsllc.com</t>
        </is>
      </c>
      <c r="G484" s="13" t="inlineStr">
        <is>
          <t>702-555-9835</t>
        </is>
      </c>
      <c r="H484" s="14" t="inlineStr">
        <is>
          <t>DOT33204</t>
        </is>
      </c>
      <c r="I484" s="16" t="n">
        <v>0.223</v>
      </c>
      <c r="J484" s="13" t="inlineStr">
        <is>
          <t>ProMaster Brake Line Rubbing Collision Abrasion Leak</t>
        </is>
      </c>
      <c r="K484" s="14" t="inlineStr">
        <is>
          <t>Warm Prospect</t>
        </is>
      </c>
      <c r="L484" s="17">
        <f>IF(C484&gt;0, 99 + (C484 * 2.5), 0)</f>
        <v/>
      </c>
    </row>
    <row r="485">
      <c r="A485" s="8" t="inlineStr">
        <is>
          <t>Clark County Charter Buses Group</t>
        </is>
      </c>
      <c r="B485" s="9" t="inlineStr">
        <is>
          <t>Boutique Transit</t>
        </is>
      </c>
      <c r="C485" s="10" t="n">
        <v>144</v>
      </c>
      <c r="D485" s="8" t="inlineStr">
        <is>
          <t>Mercedes-Benz Sprinter 3500</t>
        </is>
      </c>
      <c r="E485" s="8" t="inlineStr">
        <is>
          <t>Andrew Martinez</t>
        </is>
      </c>
      <c r="F485" s="8" t="inlineStr">
        <is>
          <t>andrew@clarkcountycharterbusesgroup.com</t>
        </is>
      </c>
      <c r="G485" s="8" t="inlineStr">
        <is>
          <t>702-555-6688</t>
        </is>
      </c>
      <c r="H485" s="9" t="inlineStr">
        <is>
          <t>DOT73131</t>
        </is>
      </c>
      <c r="I485" s="11" t="n">
        <v>0.207</v>
      </c>
      <c r="J485" s="8" t="inlineStr">
        <is>
          <t>Sprinter AC Comp Condensation Drain Backup Wiring Short</t>
        </is>
      </c>
      <c r="K485" s="9" t="inlineStr">
        <is>
          <t>Warm Prospect</t>
        </is>
      </c>
      <c r="L485" s="12">
        <f>IF(C485&gt;0, 99 + (C485 * 2.5), 0)</f>
        <v/>
      </c>
    </row>
    <row r="486">
      <c r="A486" s="13" t="inlineStr">
        <is>
          <t>Mojave Electrical Contractors LLC</t>
        </is>
      </c>
      <c r="B486" s="14" t="inlineStr">
        <is>
          <t>Electrical Services</t>
        </is>
      </c>
      <c r="C486" s="15" t="n">
        <v>49</v>
      </c>
      <c r="D486" s="13" t="inlineStr">
        <is>
          <t>Ram ProMaster 2500</t>
        </is>
      </c>
      <c r="E486" s="13" t="inlineStr">
        <is>
          <t>Christopher Smith</t>
        </is>
      </c>
      <c r="F486" s="13" t="inlineStr">
        <is>
          <t>christopher@mojaveelectricalcontractorsllc.com</t>
        </is>
      </c>
      <c r="G486" s="13" t="inlineStr">
        <is>
          <t>702-555-1001</t>
        </is>
      </c>
      <c r="H486" s="14" t="inlineStr">
        <is>
          <t>DOT78592</t>
        </is>
      </c>
      <c r="I486" s="16" t="n">
        <v>0.293</v>
      </c>
      <c r="J486" s="13" t="inlineStr">
        <is>
          <t>ProMaster Brake Line Rubbing Collision Abrasion Leak</t>
        </is>
      </c>
      <c r="K486" s="14" t="inlineStr">
        <is>
          <t>Warm Prospect</t>
        </is>
      </c>
      <c r="L486" s="17">
        <f>IF(C486&gt;0, 99 + (C486 * 2.5), 0)</f>
        <v/>
      </c>
    </row>
    <row r="487">
      <c r="A487" s="8" t="inlineStr">
        <is>
          <t>Mojave Wiring Solutions Group</t>
        </is>
      </c>
      <c r="B487" s="9" t="inlineStr">
        <is>
          <t>Electrical Services</t>
        </is>
      </c>
      <c r="C487" s="10" t="n">
        <v>135</v>
      </c>
      <c r="D487" s="8" t="inlineStr">
        <is>
          <t>Chevy Express 2500</t>
        </is>
      </c>
      <c r="E487" s="8" t="inlineStr">
        <is>
          <t>Steven Martinez</t>
        </is>
      </c>
      <c r="F487" s="8" t="inlineStr">
        <is>
          <t>steven@mojavewiringsolutionsgroup.com</t>
        </is>
      </c>
      <c r="G487" s="8" t="inlineStr">
        <is>
          <t>702-555-1149</t>
        </is>
      </c>
      <c r="H487" s="9" t="inlineStr">
        <is>
          <t>DOT66418</t>
        </is>
      </c>
      <c r="I487" s="11" t="n">
        <v>0.287</v>
      </c>
      <c r="J487" s="8" t="inlineStr">
        <is>
          <t>Express Engine Bay Hose Thermal Crack Hazard</t>
        </is>
      </c>
      <c r="K487" s="9" t="inlineStr">
        <is>
          <t>Audit Run</t>
        </is>
      </c>
      <c r="L487" s="12">
        <f>IF(C487&gt;0, 99 + (C487 * 2.5), 0)</f>
        <v/>
      </c>
    </row>
    <row r="488">
      <c r="A488" s="13" t="inlineStr">
        <is>
          <t>Henderson Air Conditioning Group</t>
        </is>
      </c>
      <c r="B488" s="14" t="inlineStr">
        <is>
          <t>HVAC/Plumbing</t>
        </is>
      </c>
      <c r="C488" s="15" t="n">
        <v>58</v>
      </c>
      <c r="D488" s="13" t="inlineStr">
        <is>
          <t>Ford Transit 150</t>
        </is>
      </c>
      <c r="E488" s="13" t="inlineStr">
        <is>
          <t>Mark Moore</t>
        </is>
      </c>
      <c r="F488" s="13" t="inlineStr">
        <is>
          <t>mark@hendersonairconditioninggroup.com</t>
        </is>
      </c>
      <c r="G488" s="13" t="inlineStr">
        <is>
          <t>702-555-8161</t>
        </is>
      </c>
      <c r="H488" s="14" t="inlineStr">
        <is>
          <t>DOT61740</t>
        </is>
      </c>
      <c r="I488" s="16" t="n">
        <v>0.117</v>
      </c>
      <c r="J488" s="13" t="inlineStr">
        <is>
          <t>Transit 114°F Electrical Module Overheat Wire Ground Fire Risk</t>
        </is>
      </c>
      <c r="K488" s="14" t="inlineStr">
        <is>
          <t>Warm Prospect</t>
        </is>
      </c>
      <c r="L488" s="17">
        <f>IF(C488&gt;0, 99 + (C488 * 2.5), 0)</f>
        <v/>
      </c>
    </row>
    <row r="489">
      <c r="A489" s="8" t="inlineStr">
        <is>
          <t>Sunset Electrical Contractors Inc</t>
        </is>
      </c>
      <c r="B489" s="9" t="inlineStr">
        <is>
          <t>Electrical Services</t>
        </is>
      </c>
      <c r="C489" s="10" t="n">
        <v>71</v>
      </c>
      <c r="D489" s="8" t="inlineStr">
        <is>
          <t>Ram ProMaster 1500</t>
        </is>
      </c>
      <c r="E489" s="8" t="inlineStr">
        <is>
          <t>Paul Martin</t>
        </is>
      </c>
      <c r="F489" s="8" t="inlineStr">
        <is>
          <t>paul@sunsetelectricalcontractorsinc.com</t>
        </is>
      </c>
      <c r="G489" s="8" t="inlineStr">
        <is>
          <t>702-555-5454</t>
        </is>
      </c>
      <c r="H489" s="9" t="inlineStr">
        <is>
          <t>DOT47313</t>
        </is>
      </c>
      <c r="I489" s="11" t="n">
        <v>0.241</v>
      </c>
      <c r="J489" s="8" t="inlineStr">
        <is>
          <t>ProMaster Brake Line Rubbing Collision Abrasion Leak</t>
        </is>
      </c>
      <c r="K489" s="9" t="inlineStr">
        <is>
          <t>Audit Run</t>
        </is>
      </c>
      <c r="L489" s="12">
        <f>IF(C489&gt;0, 99 + (C489 * 2.5), 0)</f>
        <v/>
      </c>
    </row>
    <row r="490">
      <c r="A490" s="13" t="inlineStr">
        <is>
          <t>Titan Power Systems Inc</t>
        </is>
      </c>
      <c r="B490" s="14" t="inlineStr">
        <is>
          <t>Electrical Services</t>
        </is>
      </c>
      <c r="C490" s="15" t="n">
        <v>44</v>
      </c>
      <c r="D490" s="13" t="inlineStr">
        <is>
          <t>Chevy Express 3500</t>
        </is>
      </c>
      <c r="E490" s="13" t="inlineStr">
        <is>
          <t>Christopher Brown</t>
        </is>
      </c>
      <c r="F490" s="13" t="inlineStr">
        <is>
          <t>christopher@titanpowersystemsinc.com</t>
        </is>
      </c>
      <c r="G490" s="13" t="inlineStr">
        <is>
          <t>702-555-8460</t>
        </is>
      </c>
      <c r="H490" s="14" t="inlineStr">
        <is>
          <t>DOT90967</t>
        </is>
      </c>
      <c r="I490" s="16" t="n">
        <v>0.18</v>
      </c>
      <c r="J490" s="13" t="inlineStr">
        <is>
          <t>Express Engine Bay Hose Thermal Crack Hazard</t>
        </is>
      </c>
      <c r="K490" s="14" t="inlineStr">
        <is>
          <t>Audit Run</t>
        </is>
      </c>
      <c r="L490" s="17">
        <f>IF(C490&gt;0, 99 + (C490 * 2.5), 0)</f>
        <v/>
      </c>
    </row>
    <row r="491">
      <c r="A491" s="8" t="inlineStr">
        <is>
          <t>Sunset Electrical Contractors Inc</t>
        </is>
      </c>
      <c r="B491" s="9" t="inlineStr">
        <is>
          <t>Electrical Services</t>
        </is>
      </c>
      <c r="C491" s="10" t="n">
        <v>22</v>
      </c>
      <c r="D491" s="8" t="inlineStr">
        <is>
          <t>Chevy Express 3500</t>
        </is>
      </c>
      <c r="E491" s="8" t="inlineStr">
        <is>
          <t>Andrew Smith</t>
        </is>
      </c>
      <c r="F491" s="8" t="inlineStr">
        <is>
          <t>andrew@sunsetelectricalcontractorsinc.com</t>
        </is>
      </c>
      <c r="G491" s="8" t="inlineStr">
        <is>
          <t>702-555-4046</t>
        </is>
      </c>
      <c r="H491" s="9" t="inlineStr">
        <is>
          <t>DOT23405</t>
        </is>
      </c>
      <c r="I491" s="11" t="n">
        <v>0.127</v>
      </c>
      <c r="J491" s="8" t="inlineStr">
        <is>
          <t>Express Engine Bay Hose Thermal Crack Hazard</t>
        </is>
      </c>
      <c r="K491" s="9" t="inlineStr">
        <is>
          <t>Warm Prospect</t>
        </is>
      </c>
      <c r="L491" s="12">
        <f>IF(C491&gt;0, 99 + (C491 * 2.5), 0)</f>
        <v/>
      </c>
    </row>
    <row r="492">
      <c r="A492" s="13" t="inlineStr">
        <is>
          <t>First Choice Charter Buses Inc</t>
        </is>
      </c>
      <c r="B492" s="14" t="inlineStr">
        <is>
          <t>Boutique Transit</t>
        </is>
      </c>
      <c r="C492" s="15" t="n">
        <v>33</v>
      </c>
      <c r="D492" s="13" t="inlineStr">
        <is>
          <t>Mercedes-Benz Sprinter 2500</t>
        </is>
      </c>
      <c r="E492" s="13" t="inlineStr">
        <is>
          <t>David Smith</t>
        </is>
      </c>
      <c r="F492" s="13" t="inlineStr">
        <is>
          <t>david@firstchoicecharterbusesinc.com</t>
        </is>
      </c>
      <c r="G492" s="13" t="inlineStr">
        <is>
          <t>702-555-9086</t>
        </is>
      </c>
      <c r="H492" s="14" t="inlineStr">
        <is>
          <t>DOT38467</t>
        </is>
      </c>
      <c r="I492" s="16" t="n">
        <v>0.146</v>
      </c>
      <c r="J492" s="13" t="inlineStr">
        <is>
          <t>Sprinter AC Comp Condensation Drain Backup Wiring Short</t>
        </is>
      </c>
      <c r="K492" s="14" t="inlineStr">
        <is>
          <t>Warm Prospect</t>
        </is>
      </c>
      <c r="L492" s="17">
        <f>IF(C492&gt;0, 99 + (C492 * 2.5), 0)</f>
        <v/>
      </c>
    </row>
    <row r="493">
      <c r="A493" s="8" t="inlineStr">
        <is>
          <t>Valley Wiring Solutions Group</t>
        </is>
      </c>
      <c r="B493" s="9" t="inlineStr">
        <is>
          <t>Electrical Services</t>
        </is>
      </c>
      <c r="C493" s="10" t="n">
        <v>94</v>
      </c>
      <c r="D493" s="8" t="inlineStr">
        <is>
          <t>Chevy Express 2500</t>
        </is>
      </c>
      <c r="E493" s="8" t="inlineStr">
        <is>
          <t>James Jones</t>
        </is>
      </c>
      <c r="F493" s="8" t="inlineStr">
        <is>
          <t>james@valleywiringsolutionsgroup.com</t>
        </is>
      </c>
      <c r="G493" s="8" t="inlineStr">
        <is>
          <t>702-555-1918</t>
        </is>
      </c>
      <c r="H493" s="9" t="inlineStr">
        <is>
          <t>DOT44931</t>
        </is>
      </c>
      <c r="I493" s="11" t="n">
        <v>0.28</v>
      </c>
      <c r="J493" s="8" t="inlineStr">
        <is>
          <t>Express Engine Bay Hose Thermal Crack Hazard</t>
        </is>
      </c>
      <c r="K493" s="9" t="inlineStr">
        <is>
          <t>Warm Prospect</t>
        </is>
      </c>
      <c r="L493" s="12">
        <f>IF(C493&gt;0, 99 + (C493 * 2.5), 0)</f>
        <v/>
      </c>
    </row>
    <row r="494">
      <c r="A494" s="13" t="inlineStr">
        <is>
          <t>First Choice Airport Express Inc</t>
        </is>
      </c>
      <c r="B494" s="14" t="inlineStr">
        <is>
          <t>Boutique Transit</t>
        </is>
      </c>
      <c r="C494" s="15" t="n">
        <v>107</v>
      </c>
      <c r="D494" s="13" t="inlineStr">
        <is>
          <t>Mercedes-Benz Sprinter 3500</t>
        </is>
      </c>
      <c r="E494" s="13" t="inlineStr">
        <is>
          <t>John Brown</t>
        </is>
      </c>
      <c r="F494" s="13" t="inlineStr">
        <is>
          <t>john@firstchoiceairportexpressinc.com</t>
        </is>
      </c>
      <c r="G494" s="13" t="inlineStr">
        <is>
          <t>702-555-5078</t>
        </is>
      </c>
      <c r="H494" s="14" t="inlineStr">
        <is>
          <t>DOT60436</t>
        </is>
      </c>
      <c r="I494" s="16" t="n">
        <v>0.279</v>
      </c>
      <c r="J494" s="13" t="inlineStr">
        <is>
          <t>Sprinter AC Comp Condensation Drain Backup Wiring Short</t>
        </is>
      </c>
      <c r="K494" s="14" t="inlineStr">
        <is>
          <t>Warm Prospect</t>
        </is>
      </c>
      <c r="L494" s="17">
        <f>IF(C494&gt;0, 99 + (C494 * 2.5), 0)</f>
        <v/>
      </c>
    </row>
    <row r="495">
      <c r="A495" s="8" t="inlineStr">
        <is>
          <t>Clark County Air Conditioning Inc</t>
        </is>
      </c>
      <c r="B495" s="9" t="inlineStr">
        <is>
          <t>HVAC/Plumbing</t>
        </is>
      </c>
      <c r="C495" s="10" t="n">
        <v>34</v>
      </c>
      <c r="D495" s="8" t="inlineStr">
        <is>
          <t>GMC Savana 2500</t>
        </is>
      </c>
      <c r="E495" s="8" t="inlineStr">
        <is>
          <t>Paul Miller</t>
        </is>
      </c>
      <c r="F495" s="8" t="inlineStr">
        <is>
          <t>paul@clarkcountyairconditioninginc.com</t>
        </is>
      </c>
      <c r="G495" s="8" t="inlineStr">
        <is>
          <t>702-555-8746</t>
        </is>
      </c>
      <c r="H495" s="9" t="inlineStr">
        <is>
          <t>DOT61003</t>
        </is>
      </c>
      <c r="I495" s="11" t="n">
        <v>0.251</v>
      </c>
      <c r="J495" s="8" t="inlineStr">
        <is>
          <t>Savana Desert Fuel Line Seal Degradation Failure</t>
        </is>
      </c>
      <c r="K495" s="9" t="inlineStr">
        <is>
          <t>Warm Prospect</t>
        </is>
      </c>
      <c r="L495" s="12">
        <f>IF(C495&gt;0, 99 + (C495 * 2.5), 0)</f>
        <v/>
      </c>
    </row>
    <row r="496">
      <c r="A496" s="13" t="inlineStr">
        <is>
          <t>Red Rock Electric Pros Group</t>
        </is>
      </c>
      <c r="B496" s="14" t="inlineStr">
        <is>
          <t>Electrical Services</t>
        </is>
      </c>
      <c r="C496" s="15" t="n">
        <v>150</v>
      </c>
      <c r="D496" s="13" t="inlineStr">
        <is>
          <t>Chevy Express 2500</t>
        </is>
      </c>
      <c r="E496" s="13" t="inlineStr">
        <is>
          <t>Paul Brown</t>
        </is>
      </c>
      <c r="F496" s="13" t="inlineStr">
        <is>
          <t>paul@redrockelectricprosgroup.com</t>
        </is>
      </c>
      <c r="G496" s="13" t="inlineStr">
        <is>
          <t>702-555-5150</t>
        </is>
      </c>
      <c r="H496" s="14" t="inlineStr">
        <is>
          <t>DOT73075</t>
        </is>
      </c>
      <c r="I496" s="16" t="n">
        <v>0.238</v>
      </c>
      <c r="J496" s="13" t="inlineStr">
        <is>
          <t>Express Engine Bay Hose Thermal Crack Hazard</t>
        </is>
      </c>
      <c r="K496" s="14" t="inlineStr">
        <is>
          <t>Warm Prospect</t>
        </is>
      </c>
      <c r="L496" s="17">
        <f>IF(C496&gt;0, 99 + (C496 * 2.5), 0)</f>
        <v/>
      </c>
    </row>
    <row r="497">
      <c r="A497" s="8" t="inlineStr">
        <is>
          <t>Spring Valley Electric &amp; Solar Group</t>
        </is>
      </c>
      <c r="B497" s="9" t="inlineStr">
        <is>
          <t>Electrical Services</t>
        </is>
      </c>
      <c r="C497" s="10" t="n">
        <v>38</v>
      </c>
      <c r="D497" s="8" t="inlineStr">
        <is>
          <t>Chevy Express 3500</t>
        </is>
      </c>
      <c r="E497" s="8" t="inlineStr">
        <is>
          <t>Thomas Wilson</t>
        </is>
      </c>
      <c r="F497" s="8" t="inlineStr">
        <is>
          <t>thomas@springvalleyelectricsolargroup.com</t>
        </is>
      </c>
      <c r="G497" s="8" t="inlineStr">
        <is>
          <t>702-555-6316</t>
        </is>
      </c>
      <c r="H497" s="9" t="inlineStr">
        <is>
          <t>DOT11974</t>
        </is>
      </c>
      <c r="I497" s="11" t="n">
        <v>0.092</v>
      </c>
      <c r="J497" s="8" t="inlineStr">
        <is>
          <t>Express Engine Bay Hose Thermal Crack Hazard</t>
        </is>
      </c>
      <c r="K497" s="9" t="inlineStr">
        <is>
          <t>Warm Prospect</t>
        </is>
      </c>
      <c r="L497" s="12">
        <f>IF(C497&gt;0, 99 + (C497 * 2.5), 0)</f>
        <v/>
      </c>
    </row>
    <row r="498">
      <c r="A498" s="13" t="inlineStr">
        <is>
          <t>Apex Tours &amp; Transit Inc</t>
        </is>
      </c>
      <c r="B498" s="14" t="inlineStr">
        <is>
          <t>Boutique Transit</t>
        </is>
      </c>
      <c r="C498" s="15" t="n">
        <v>20</v>
      </c>
      <c r="D498" s="13" t="inlineStr">
        <is>
          <t>Mercedes-Benz Sprinter 2500</t>
        </is>
      </c>
      <c r="E498" s="13" t="inlineStr">
        <is>
          <t>Joshua Thomas</t>
        </is>
      </c>
      <c r="F498" s="13" t="inlineStr">
        <is>
          <t>joshua@apextourstransitinc.com</t>
        </is>
      </c>
      <c r="G498" s="13" t="inlineStr">
        <is>
          <t>702-555-3539</t>
        </is>
      </c>
      <c r="H498" s="14" t="inlineStr">
        <is>
          <t>DOT58679</t>
        </is>
      </c>
      <c r="I498" s="16" t="n">
        <v>0.279</v>
      </c>
      <c r="J498" s="13" t="inlineStr">
        <is>
          <t>Sprinter AC Comp Condensation Drain Backup Wiring Short</t>
        </is>
      </c>
      <c r="K498" s="14" t="inlineStr">
        <is>
          <t>Warm Prospect</t>
        </is>
      </c>
      <c r="L498" s="17">
        <f>IF(C498&gt;0, 99 + (C498 * 2.5), 0)</f>
        <v/>
      </c>
    </row>
    <row r="499">
      <c r="A499" s="8" t="inlineStr">
        <is>
          <t>First Choice Air Conditioning Group</t>
        </is>
      </c>
      <c r="B499" s="9" t="inlineStr">
        <is>
          <t>HVAC/Plumbing</t>
        </is>
      </c>
      <c r="C499" s="10" t="n">
        <v>96</v>
      </c>
      <c r="D499" s="8" t="inlineStr">
        <is>
          <t>Chevy Express 2500</t>
        </is>
      </c>
      <c r="E499" s="8" t="inlineStr">
        <is>
          <t>Michael Johnson</t>
        </is>
      </c>
      <c r="F499" s="8" t="inlineStr">
        <is>
          <t>michael@firstchoiceairconditioninggroup.com</t>
        </is>
      </c>
      <c r="G499" s="8" t="inlineStr">
        <is>
          <t>702-555-6824</t>
        </is>
      </c>
      <c r="H499" s="9" t="inlineStr">
        <is>
          <t>DOT94485</t>
        </is>
      </c>
      <c r="I499" s="11" t="n">
        <v>0.08799999999999999</v>
      </c>
      <c r="J499" s="8" t="inlineStr">
        <is>
          <t>Express Engine Bay Hose Thermal Crack Hazard</t>
        </is>
      </c>
      <c r="K499" s="9" t="inlineStr">
        <is>
          <t>Audit Run</t>
        </is>
      </c>
      <c r="L499" s="12">
        <f>IF(C499&gt;0, 99 + (C499 * 2.5), 0)</f>
        <v/>
      </c>
    </row>
    <row r="500">
      <c r="A500" s="13" t="inlineStr">
        <is>
          <t>Red Rock Comfort Heating Inc</t>
        </is>
      </c>
      <c r="B500" s="14" t="inlineStr">
        <is>
          <t>HVAC/Plumbing</t>
        </is>
      </c>
      <c r="C500" s="15" t="n">
        <v>98</v>
      </c>
      <c r="D500" s="13" t="inlineStr">
        <is>
          <t>Ford Transit 150</t>
        </is>
      </c>
      <c r="E500" s="13" t="inlineStr">
        <is>
          <t>Donald Miller</t>
        </is>
      </c>
      <c r="F500" s="13" t="inlineStr">
        <is>
          <t>donald@redrockcomfortheatinginc.com</t>
        </is>
      </c>
      <c r="G500" s="13" t="inlineStr">
        <is>
          <t>702-555-1349</t>
        </is>
      </c>
      <c r="H500" s="14" t="inlineStr">
        <is>
          <t>DOT59514</t>
        </is>
      </c>
      <c r="I500" s="16" t="n">
        <v>0.151</v>
      </c>
      <c r="J500" s="13" t="inlineStr">
        <is>
          <t>Transit 114°F Electrical Module Overheat Wire Ground Fire Risk</t>
        </is>
      </c>
      <c r="K500" s="14" t="inlineStr">
        <is>
          <t>Warm Prospect</t>
        </is>
      </c>
      <c r="L500" s="17">
        <f>IF(C500&gt;0, 99 + (C500 * 2.5), 0)</f>
        <v/>
      </c>
    </row>
    <row r="501">
      <c r="A501" s="8" t="inlineStr">
        <is>
          <t>Spring Valley Electric &amp; Solar LLC</t>
        </is>
      </c>
      <c r="B501" s="9" t="inlineStr">
        <is>
          <t>Electrical Services</t>
        </is>
      </c>
      <c r="C501" s="10" t="n">
        <v>85</v>
      </c>
      <c r="D501" s="8" t="inlineStr">
        <is>
          <t>Ram ProMaster 1500</t>
        </is>
      </c>
      <c r="E501" s="8" t="inlineStr">
        <is>
          <t>Andrew Thomas</t>
        </is>
      </c>
      <c r="F501" s="8" t="inlineStr">
        <is>
          <t>andrew@springvalleyelectricsolarllc.com</t>
        </is>
      </c>
      <c r="G501" s="8" t="inlineStr">
        <is>
          <t>702-555-4109</t>
        </is>
      </c>
      <c r="H501" s="9" t="inlineStr">
        <is>
          <t>DOT84278</t>
        </is>
      </c>
      <c r="I501" s="11" t="n">
        <v>0.098</v>
      </c>
      <c r="J501" s="8" t="inlineStr">
        <is>
          <t>ProMaster Brake Line Rubbing Collision Abrasion Leak</t>
        </is>
      </c>
      <c r="K501" s="9" t="inlineStr">
        <is>
          <t>Warm Prospect</t>
        </is>
      </c>
      <c r="L501" s="12">
        <f>IF(C501&gt;0, 99 + (C501 * 2.5), 0)</f>
        <v/>
      </c>
    </row>
    <row r="502">
      <c r="A502" s="13" t="inlineStr">
        <is>
          <t>Clark County Wiring Solutions LLC</t>
        </is>
      </c>
      <c r="B502" s="14" t="inlineStr">
        <is>
          <t>Electrical Services</t>
        </is>
      </c>
      <c r="C502" s="15" t="n">
        <v>27</v>
      </c>
      <c r="D502" s="13" t="inlineStr">
        <is>
          <t>Chevy Express 3500</t>
        </is>
      </c>
      <c r="E502" s="13" t="inlineStr">
        <is>
          <t>Paul Jones</t>
        </is>
      </c>
      <c r="F502" s="13" t="inlineStr">
        <is>
          <t>paul@clarkcountywiringsolutionsllc.com</t>
        </is>
      </c>
      <c r="G502" s="13" t="inlineStr">
        <is>
          <t>702-555-8362</t>
        </is>
      </c>
      <c r="H502" s="14" t="inlineStr">
        <is>
          <t>DOT48754</t>
        </is>
      </c>
      <c r="I502" s="16" t="n">
        <v>0.294</v>
      </c>
      <c r="J502" s="13" t="inlineStr">
        <is>
          <t>Express Engine Bay Hose Thermal Crack Hazard</t>
        </is>
      </c>
      <c r="K502" s="14" t="inlineStr">
        <is>
          <t>Audit Run</t>
        </is>
      </c>
      <c r="L502" s="17">
        <f>IF(C502&gt;0, 99 + (C502 * 2.5), 0)</f>
        <v/>
      </c>
    </row>
    <row r="503">
      <c r="A503" s="8" t="inlineStr">
        <is>
          <t>First Choice Electric &amp; Solar Group</t>
        </is>
      </c>
      <c r="B503" s="9" t="inlineStr">
        <is>
          <t>Electrical Services</t>
        </is>
      </c>
      <c r="C503" s="10" t="n">
        <v>57</v>
      </c>
      <c r="D503" s="8" t="inlineStr">
        <is>
          <t>Ram ProMaster 1500</t>
        </is>
      </c>
      <c r="E503" s="8" t="inlineStr">
        <is>
          <t>John Martin</t>
        </is>
      </c>
      <c r="F503" s="8" t="inlineStr">
        <is>
          <t>john@firstchoiceelectricsolargroup.com</t>
        </is>
      </c>
      <c r="G503" s="8" t="inlineStr">
        <is>
          <t>702-555-6965</t>
        </is>
      </c>
      <c r="H503" s="9" t="inlineStr">
        <is>
          <t>DOT91290</t>
        </is>
      </c>
      <c r="I503" s="11" t="n">
        <v>0.114</v>
      </c>
      <c r="J503" s="8" t="inlineStr">
        <is>
          <t>ProMaster Brake Line Rubbing Collision Abrasion Leak</t>
        </is>
      </c>
      <c r="K503" s="9" t="inlineStr">
        <is>
          <t>Warm Prospect</t>
        </is>
      </c>
      <c r="L503" s="12">
        <f>IF(C503&gt;0, 99 + (C503 * 2.5), 0)</f>
        <v/>
      </c>
    </row>
    <row r="504">
      <c r="A504" s="13" t="inlineStr">
        <is>
          <t>High Rise Tours &amp; Transit Inc</t>
        </is>
      </c>
      <c r="B504" s="14" t="inlineStr">
        <is>
          <t>Boutique Transit</t>
        </is>
      </c>
      <c r="C504" s="15" t="n">
        <v>137</v>
      </c>
      <c r="D504" s="13" t="inlineStr">
        <is>
          <t>Ford Transit 350</t>
        </is>
      </c>
      <c r="E504" s="13" t="inlineStr">
        <is>
          <t>Andrew Jones</t>
        </is>
      </c>
      <c r="F504" s="13" t="inlineStr">
        <is>
          <t>andrew@highrisetourstransitinc.com</t>
        </is>
      </c>
      <c r="G504" s="13" t="inlineStr">
        <is>
          <t>702-555-5638</t>
        </is>
      </c>
      <c r="H504" s="14" t="inlineStr">
        <is>
          <t>DOT52283</t>
        </is>
      </c>
      <c r="I504" s="16" t="n">
        <v>0.167</v>
      </c>
      <c r="J504" s="13" t="inlineStr">
        <is>
          <t>Transit 114°F Electrical Module Overheat Wire Ground Fire Risk</t>
        </is>
      </c>
      <c r="K504" s="14" t="inlineStr">
        <is>
          <t>Warm Prospect</t>
        </is>
      </c>
      <c r="L504" s="17">
        <f>IF(C504&gt;0, 99 + (C504 * 2.5), 0)</f>
        <v/>
      </c>
    </row>
    <row r="505">
      <c r="A505" s="8" t="inlineStr">
        <is>
          <t>Apex Plumbing Experts Group</t>
        </is>
      </c>
      <c r="B505" s="9" t="inlineStr">
        <is>
          <t>HVAC/Plumbing</t>
        </is>
      </c>
      <c r="C505" s="10" t="n">
        <v>21</v>
      </c>
      <c r="D505" s="8" t="inlineStr">
        <is>
          <t>Ford Transit 250</t>
        </is>
      </c>
      <c r="E505" s="8" t="inlineStr">
        <is>
          <t>David Garcia</t>
        </is>
      </c>
      <c r="F505" s="8" t="inlineStr">
        <is>
          <t>david@apexplumbingexpertsgroup.com</t>
        </is>
      </c>
      <c r="G505" s="8" t="inlineStr">
        <is>
          <t>702-555-1512</t>
        </is>
      </c>
      <c r="H505" s="9" t="inlineStr">
        <is>
          <t>DOT36486</t>
        </is>
      </c>
      <c r="I505" s="11" t="n">
        <v>0.073</v>
      </c>
      <c r="J505" s="8" t="inlineStr">
        <is>
          <t>Transit 114°F Electrical Module Overheat Wire Ground Fire Risk</t>
        </is>
      </c>
      <c r="K505" s="9" t="inlineStr">
        <is>
          <t>Warm Prospect</t>
        </is>
      </c>
      <c r="L505" s="12">
        <f>IF(C505&gt;0, 99 + (C505 * 2.5), 0)</f>
        <v/>
      </c>
    </row>
    <row r="506">
      <c r="A506" s="13" t="inlineStr">
        <is>
          <t>Silver State Plumbing Experts Group</t>
        </is>
      </c>
      <c r="B506" s="14" t="inlineStr">
        <is>
          <t>HVAC/Plumbing</t>
        </is>
      </c>
      <c r="C506" s="15" t="n">
        <v>135</v>
      </c>
      <c r="D506" s="13" t="inlineStr">
        <is>
          <t>GMC Savana 2500</t>
        </is>
      </c>
      <c r="E506" s="13" t="inlineStr">
        <is>
          <t>Paul Martin</t>
        </is>
      </c>
      <c r="F506" s="13" t="inlineStr">
        <is>
          <t>paul@silverstateplumbingexpertsgroup.com</t>
        </is>
      </c>
      <c r="G506" s="13" t="inlineStr">
        <is>
          <t>702-555-5193</t>
        </is>
      </c>
      <c r="H506" s="14" t="inlineStr">
        <is>
          <t>DOT16433</t>
        </is>
      </c>
      <c r="I506" s="16" t="n">
        <v>0.154</v>
      </c>
      <c r="J506" s="13" t="inlineStr">
        <is>
          <t>Savana Desert Fuel Line Seal Degradation Failure</t>
        </is>
      </c>
      <c r="K506" s="14" t="inlineStr">
        <is>
          <t>Audit Run</t>
        </is>
      </c>
      <c r="L506" s="17">
        <f>IF(C506&gt;0, 99 + (C506 * 2.5), 0)</f>
        <v/>
      </c>
    </row>
    <row r="507">
      <c r="A507" s="8" t="inlineStr">
        <is>
          <t>Apex Shuttles Inc</t>
        </is>
      </c>
      <c r="B507" s="9" t="inlineStr">
        <is>
          <t>Boutique Transit</t>
        </is>
      </c>
      <c r="C507" s="10" t="n">
        <v>135</v>
      </c>
      <c r="D507" s="8" t="inlineStr">
        <is>
          <t>Ford Transit 350</t>
        </is>
      </c>
      <c r="E507" s="8" t="inlineStr">
        <is>
          <t>James Anderson</t>
        </is>
      </c>
      <c r="F507" s="8" t="inlineStr">
        <is>
          <t>james@apexshuttlesinc.com</t>
        </is>
      </c>
      <c r="G507" s="8" t="inlineStr">
        <is>
          <t>702-555-1994</t>
        </is>
      </c>
      <c r="H507" s="9" t="inlineStr">
        <is>
          <t>DOT57307</t>
        </is>
      </c>
      <c r="I507" s="11" t="n">
        <v>0.213</v>
      </c>
      <c r="J507" s="8" t="inlineStr">
        <is>
          <t>Transit 114°F Electrical Module Overheat Wire Ground Fire Risk</t>
        </is>
      </c>
      <c r="K507" s="9" t="inlineStr">
        <is>
          <t>Warm Prospect</t>
        </is>
      </c>
      <c r="L507" s="12">
        <f>IF(C507&gt;0, 99 + (C507 * 2.5), 0)</f>
        <v/>
      </c>
    </row>
    <row r="508">
      <c r="A508" s="13" t="inlineStr">
        <is>
          <t>Henderson Electric Pros Inc</t>
        </is>
      </c>
      <c r="B508" s="14" t="inlineStr">
        <is>
          <t>Electrical Services</t>
        </is>
      </c>
      <c r="C508" s="15" t="n">
        <v>145</v>
      </c>
      <c r="D508" s="13" t="inlineStr">
        <is>
          <t>Ram ProMaster 2500</t>
        </is>
      </c>
      <c r="E508" s="13" t="inlineStr">
        <is>
          <t>Michael Williams</t>
        </is>
      </c>
      <c r="F508" s="13" t="inlineStr">
        <is>
          <t>michael@hendersonelectricprosinc.com</t>
        </is>
      </c>
      <c r="G508" s="13" t="inlineStr">
        <is>
          <t>702-555-5979</t>
        </is>
      </c>
      <c r="H508" s="14" t="inlineStr">
        <is>
          <t>DOT20215</t>
        </is>
      </c>
      <c r="I508" s="16" t="n">
        <v>0.333</v>
      </c>
      <c r="J508" s="13" t="inlineStr">
        <is>
          <t>ProMaster Brake Line Rubbing Collision Abrasion Leak</t>
        </is>
      </c>
      <c r="K508" s="14" t="inlineStr">
        <is>
          <t>Audit Run</t>
        </is>
      </c>
      <c r="L508" s="17">
        <f>IF(C508&gt;0, 99 + (C508 * 2.5), 0)</f>
        <v/>
      </c>
    </row>
    <row r="509">
      <c r="A509" s="8" t="inlineStr">
        <is>
          <t>Apex Mechanical Services Inc</t>
        </is>
      </c>
      <c r="B509" s="9" t="inlineStr">
        <is>
          <t>HVAC/Plumbing</t>
        </is>
      </c>
      <c r="C509" s="10" t="n">
        <v>108</v>
      </c>
      <c r="D509" s="8" t="inlineStr">
        <is>
          <t>Chevy Express 2500</t>
        </is>
      </c>
      <c r="E509" s="8" t="inlineStr">
        <is>
          <t>Richard Miller</t>
        </is>
      </c>
      <c r="F509" s="8" t="inlineStr">
        <is>
          <t>richard@apexmechanicalservicesinc.com</t>
        </is>
      </c>
      <c r="G509" s="8" t="inlineStr">
        <is>
          <t>702-555-9621</t>
        </is>
      </c>
      <c r="H509" s="9" t="inlineStr">
        <is>
          <t>DOT96098</t>
        </is>
      </c>
      <c r="I509" s="11" t="n">
        <v>0.117</v>
      </c>
      <c r="J509" s="8" t="inlineStr">
        <is>
          <t>Express Engine Bay Hose Thermal Crack Hazard</t>
        </is>
      </c>
      <c r="K509" s="9" t="inlineStr">
        <is>
          <t>Warm Prospect</t>
        </is>
      </c>
      <c r="L509" s="12">
        <f>IF(C509&gt;0, 99 + (C509 * 2.5), 0)</f>
        <v/>
      </c>
    </row>
    <row r="510">
      <c r="A510" s="13" t="inlineStr">
        <is>
          <t>Clark County Logistics LLC</t>
        </is>
      </c>
      <c r="B510" s="14" t="inlineStr">
        <is>
          <t>Boutique Transit</t>
        </is>
      </c>
      <c r="C510" s="15" t="n">
        <v>37</v>
      </c>
      <c r="D510" s="13" t="inlineStr">
        <is>
          <t>Ford Transit 350</t>
        </is>
      </c>
      <c r="E510" s="13" t="inlineStr">
        <is>
          <t>Joshua Lopez</t>
        </is>
      </c>
      <c r="F510" s="13" t="inlineStr">
        <is>
          <t>joshua@clarkcountylogisticsllc.com</t>
        </is>
      </c>
      <c r="G510" s="13" t="inlineStr">
        <is>
          <t>702-555-8515</t>
        </is>
      </c>
      <c r="H510" s="14" t="inlineStr">
        <is>
          <t>DOT97194</t>
        </is>
      </c>
      <c r="I510" s="16" t="n">
        <v>0.172</v>
      </c>
      <c r="J510" s="13" t="inlineStr">
        <is>
          <t>Transit 114°F Electrical Module Overheat Wire Ground Fire Risk</t>
        </is>
      </c>
      <c r="K510" s="14" t="inlineStr">
        <is>
          <t>Warm Prospect</t>
        </is>
      </c>
      <c r="L510" s="17">
        <f>IF(C510&gt;0, 99 + (C510 * 2.5), 0)</f>
        <v/>
      </c>
    </row>
    <row r="511">
      <c r="A511" s="8" t="inlineStr">
        <is>
          <t>Henderson Plumbing &amp; Drain Group</t>
        </is>
      </c>
      <c r="B511" s="9" t="inlineStr">
        <is>
          <t>HVAC/Plumbing</t>
        </is>
      </c>
      <c r="C511" s="10" t="n">
        <v>139</v>
      </c>
      <c r="D511" s="8" t="inlineStr">
        <is>
          <t>GMC Savana 2500</t>
        </is>
      </c>
      <c r="E511" s="8" t="inlineStr">
        <is>
          <t>Daniel Garcia</t>
        </is>
      </c>
      <c r="F511" s="8" t="inlineStr">
        <is>
          <t>daniel@hendersonplumbingdraingroup.com</t>
        </is>
      </c>
      <c r="G511" s="8" t="inlineStr">
        <is>
          <t>702-555-9747</t>
        </is>
      </c>
      <c r="H511" s="9" t="inlineStr">
        <is>
          <t>DOT88632</t>
        </is>
      </c>
      <c r="I511" s="11" t="n">
        <v>0.177</v>
      </c>
      <c r="J511" s="8" t="inlineStr">
        <is>
          <t>Savana Desert Fuel Line Seal Degradation Failure</t>
        </is>
      </c>
      <c r="K511" s="9" t="inlineStr">
        <is>
          <t>Warm Prospect</t>
        </is>
      </c>
      <c r="L511" s="12">
        <f>IF(C511&gt;0, 99 + (C511 * 2.5), 0)</f>
        <v/>
      </c>
    </row>
    <row r="512">
      <c r="A512" s="13" t="inlineStr">
        <is>
          <t>High Rise Electrical Contractors LLC</t>
        </is>
      </c>
      <c r="B512" s="14" t="inlineStr">
        <is>
          <t>Electrical Services</t>
        </is>
      </c>
      <c r="C512" s="15" t="n">
        <v>120</v>
      </c>
      <c r="D512" s="13" t="inlineStr">
        <is>
          <t>Ram ProMaster 1500</t>
        </is>
      </c>
      <c r="E512" s="13" t="inlineStr">
        <is>
          <t>Daniel Martin</t>
        </is>
      </c>
      <c r="F512" s="13" t="inlineStr">
        <is>
          <t>daniel@highriseelectricalcontractorsllc.com</t>
        </is>
      </c>
      <c r="G512" s="13" t="inlineStr">
        <is>
          <t>702-555-4943</t>
        </is>
      </c>
      <c r="H512" s="14" t="inlineStr">
        <is>
          <t>DOT83812</t>
        </is>
      </c>
      <c r="I512" s="16" t="n">
        <v>0.209</v>
      </c>
      <c r="J512" s="13" t="inlineStr">
        <is>
          <t>ProMaster Brake Line Rubbing Collision Abrasion Leak</t>
        </is>
      </c>
      <c r="K512" s="14" t="inlineStr">
        <is>
          <t>Warm Prospect</t>
        </is>
      </c>
      <c r="L512" s="17">
        <f>IF(C512&gt;0, 99 + (C512 * 2.5), 0)</f>
        <v/>
      </c>
    </row>
    <row r="513">
      <c r="A513" s="8" t="inlineStr">
        <is>
          <t>Spring Valley Charter Buses LLC</t>
        </is>
      </c>
      <c r="B513" s="9" t="inlineStr">
        <is>
          <t>Boutique Transit</t>
        </is>
      </c>
      <c r="C513" s="10" t="n">
        <v>125</v>
      </c>
      <c r="D513" s="8" t="inlineStr">
        <is>
          <t>Mercedes-Benz Sprinter 3500</t>
        </is>
      </c>
      <c r="E513" s="8" t="inlineStr">
        <is>
          <t>Donald Gonzalez</t>
        </is>
      </c>
      <c r="F513" s="8" t="inlineStr">
        <is>
          <t>donald@springvalleycharterbusesllc.com</t>
        </is>
      </c>
      <c r="G513" s="8" t="inlineStr">
        <is>
          <t>702-555-1003</t>
        </is>
      </c>
      <c r="H513" s="9" t="inlineStr">
        <is>
          <t>DOT14543</t>
        </is>
      </c>
      <c r="I513" s="11" t="n">
        <v>0.345</v>
      </c>
      <c r="J513" s="8" t="inlineStr">
        <is>
          <t>Sprinter AC Comp Condensation Drain Backup Wiring Short</t>
        </is>
      </c>
      <c r="K513" s="9" t="inlineStr">
        <is>
          <t>Audit Run</t>
        </is>
      </c>
      <c r="L513" s="12">
        <f>IF(C513&gt;0, 99 + (C513 * 2.5), 0)</f>
        <v/>
      </c>
    </row>
    <row r="514">
      <c r="A514" s="13" t="inlineStr">
        <is>
          <t>High Rise Plumbing &amp; Drain LLC</t>
        </is>
      </c>
      <c r="B514" s="14" t="inlineStr">
        <is>
          <t>HVAC/Plumbing</t>
        </is>
      </c>
      <c r="C514" s="15" t="n">
        <v>86</v>
      </c>
      <c r="D514" s="13" t="inlineStr">
        <is>
          <t>Ford Transit 250</t>
        </is>
      </c>
      <c r="E514" s="13" t="inlineStr">
        <is>
          <t>Thomas Miller</t>
        </is>
      </c>
      <c r="F514" s="13" t="inlineStr">
        <is>
          <t>thomas@highriseplumbingdrainllc.com</t>
        </is>
      </c>
      <c r="G514" s="13" t="inlineStr">
        <is>
          <t>702-555-6159</t>
        </is>
      </c>
      <c r="H514" s="14" t="inlineStr">
        <is>
          <t>DOT12844</t>
        </is>
      </c>
      <c r="I514" s="16" t="n">
        <v>0.279</v>
      </c>
      <c r="J514" s="13" t="inlineStr">
        <is>
          <t>Transit 114°F Electrical Module Overheat Wire Ground Fire Risk</t>
        </is>
      </c>
      <c r="K514" s="14" t="inlineStr">
        <is>
          <t>Warm Prospect</t>
        </is>
      </c>
      <c r="L514" s="17">
        <f>IF(C514&gt;0, 99 + (C514 * 2.5), 0)</f>
        <v/>
      </c>
    </row>
    <row r="515">
      <c r="A515" s="8" t="inlineStr">
        <is>
          <t>High Rise Logistics Group</t>
        </is>
      </c>
      <c r="B515" s="9" t="inlineStr">
        <is>
          <t>Boutique Transit</t>
        </is>
      </c>
      <c r="C515" s="10" t="n">
        <v>49</v>
      </c>
      <c r="D515" s="8" t="inlineStr">
        <is>
          <t>Ford Transit 350</t>
        </is>
      </c>
      <c r="E515" s="8" t="inlineStr">
        <is>
          <t>Robert Johnson</t>
        </is>
      </c>
      <c r="F515" s="8" t="inlineStr">
        <is>
          <t>robert@highriselogisticsgroup.com</t>
        </is>
      </c>
      <c r="G515" s="8" t="inlineStr">
        <is>
          <t>702-555-8542</t>
        </is>
      </c>
      <c r="H515" s="9" t="inlineStr">
        <is>
          <t>DOT56616</t>
        </is>
      </c>
      <c r="I515" s="11" t="n">
        <v>0.08799999999999999</v>
      </c>
      <c r="J515" s="8" t="inlineStr">
        <is>
          <t>Transit 114°F Electrical Module Overheat Wire Ground Fire Risk</t>
        </is>
      </c>
      <c r="K515" s="9" t="inlineStr">
        <is>
          <t>Warm Prospect</t>
        </is>
      </c>
      <c r="L515" s="12">
        <f>IF(C515&gt;0, 99 + (C515 * 2.5), 0)</f>
        <v/>
      </c>
    </row>
    <row r="516">
      <c r="A516" s="13" t="inlineStr">
        <is>
          <t>Spring Valley Lighting &amp; Power Inc</t>
        </is>
      </c>
      <c r="B516" s="14" t="inlineStr">
        <is>
          <t>Electrical Services</t>
        </is>
      </c>
      <c r="C516" s="15" t="n">
        <v>75</v>
      </c>
      <c r="D516" s="13" t="inlineStr">
        <is>
          <t>Chevy Express 3500</t>
        </is>
      </c>
      <c r="E516" s="13" t="inlineStr">
        <is>
          <t>Christopher Williams</t>
        </is>
      </c>
      <c r="F516" s="13" t="inlineStr">
        <is>
          <t>christopher@springvalleylightingpowerinc.com</t>
        </is>
      </c>
      <c r="G516" s="13" t="inlineStr">
        <is>
          <t>702-555-7550</t>
        </is>
      </c>
      <c r="H516" s="14" t="inlineStr">
        <is>
          <t>DOT84588</t>
        </is>
      </c>
      <c r="I516" s="16" t="n">
        <v>0.325</v>
      </c>
      <c r="J516" s="13" t="inlineStr">
        <is>
          <t>Express Engine Bay Hose Thermal Crack Hazard</t>
        </is>
      </c>
      <c r="K516" s="14" t="inlineStr">
        <is>
          <t>Warm Prospect</t>
        </is>
      </c>
      <c r="L516" s="17">
        <f>IF(C516&gt;0, 99 + (C516 * 2.5), 0)</f>
        <v/>
      </c>
    </row>
    <row r="517">
      <c r="A517" s="8" t="inlineStr">
        <is>
          <t>Valley Tours &amp; Transit Inc</t>
        </is>
      </c>
      <c r="B517" s="9" t="inlineStr">
        <is>
          <t>Boutique Transit</t>
        </is>
      </c>
      <c r="C517" s="10" t="n">
        <v>34</v>
      </c>
      <c r="D517" s="8" t="inlineStr">
        <is>
          <t>Mercedes-Benz Sprinter 3500</t>
        </is>
      </c>
      <c r="E517" s="8" t="inlineStr">
        <is>
          <t>Kenneth Martinez</t>
        </is>
      </c>
      <c r="F517" s="8" t="inlineStr">
        <is>
          <t>kenneth@valleytourstransitinc.com</t>
        </is>
      </c>
      <c r="G517" s="8" t="inlineStr">
        <is>
          <t>702-555-1612</t>
        </is>
      </c>
      <c r="H517" s="9" t="inlineStr">
        <is>
          <t>DOT85534</t>
        </is>
      </c>
      <c r="I517" s="11" t="n">
        <v>0.158</v>
      </c>
      <c r="J517" s="8" t="inlineStr">
        <is>
          <t>Sprinter AC Comp Condensation Drain Backup Wiring Short</t>
        </is>
      </c>
      <c r="K517" s="9" t="inlineStr">
        <is>
          <t>Warm Prospect</t>
        </is>
      </c>
      <c r="L517" s="12">
        <f>IF(C517&gt;0, 99 + (C517 * 2.5), 0)</f>
        <v/>
      </c>
    </row>
    <row r="518">
      <c r="A518" s="13" t="inlineStr">
        <is>
          <t>Valley Wiring Solutions LLC</t>
        </is>
      </c>
      <c r="B518" s="14" t="inlineStr">
        <is>
          <t>Electrical Services</t>
        </is>
      </c>
      <c r="C518" s="15" t="n">
        <v>68</v>
      </c>
      <c r="D518" s="13" t="inlineStr">
        <is>
          <t>Chevy Express 2500</t>
        </is>
      </c>
      <c r="E518" s="13" t="inlineStr">
        <is>
          <t>Kenneth Smith</t>
        </is>
      </c>
      <c r="F518" s="13" t="inlineStr">
        <is>
          <t>kenneth@valleywiringsolutionsllc.com</t>
        </is>
      </c>
      <c r="G518" s="13" t="inlineStr">
        <is>
          <t>702-555-7266</t>
        </is>
      </c>
      <c r="H518" s="14" t="inlineStr">
        <is>
          <t>DOT17094</t>
        </is>
      </c>
      <c r="I518" s="16" t="n">
        <v>0.134</v>
      </c>
      <c r="J518" s="13" t="inlineStr">
        <is>
          <t>Express Engine Bay Hose Thermal Crack Hazard</t>
        </is>
      </c>
      <c r="K518" s="14" t="inlineStr">
        <is>
          <t>Warm Prospect</t>
        </is>
      </c>
      <c r="L518" s="17">
        <f>IF(C518&gt;0, 99 + (C518 * 2.5), 0)</f>
        <v/>
      </c>
    </row>
    <row r="519">
      <c r="A519" s="8" t="inlineStr">
        <is>
          <t>High Rise Lighting &amp; Power Inc</t>
        </is>
      </c>
      <c r="B519" s="9" t="inlineStr">
        <is>
          <t>Electrical Services</t>
        </is>
      </c>
      <c r="C519" s="10" t="n">
        <v>138</v>
      </c>
      <c r="D519" s="8" t="inlineStr">
        <is>
          <t>Ram ProMaster 2500</t>
        </is>
      </c>
      <c r="E519" s="8" t="inlineStr">
        <is>
          <t>Thomas Jones</t>
        </is>
      </c>
      <c r="F519" s="8" t="inlineStr">
        <is>
          <t>thomas@highriselightingpowerinc.com</t>
        </is>
      </c>
      <c r="G519" s="8" t="inlineStr">
        <is>
          <t>702-555-1827</t>
        </is>
      </c>
      <c r="H519" s="9" t="inlineStr">
        <is>
          <t>DOT98294</t>
        </is>
      </c>
      <c r="I519" s="11" t="n">
        <v>0.267</v>
      </c>
      <c r="J519" s="8" t="inlineStr">
        <is>
          <t>ProMaster Brake Line Rubbing Collision Abrasion Leak</t>
        </is>
      </c>
      <c r="K519" s="9" t="inlineStr">
        <is>
          <t>Warm Prospect</t>
        </is>
      </c>
      <c r="L519" s="12">
        <f>IF(C519&gt;0, 99 + (C519 * 2.5), 0)</f>
        <v/>
      </c>
    </row>
    <row r="520">
      <c r="A520" s="13" t="inlineStr">
        <is>
          <t>Henderson Lighting &amp; Power Group</t>
        </is>
      </c>
      <c r="B520" s="14" t="inlineStr">
        <is>
          <t>Electrical Services</t>
        </is>
      </c>
      <c r="C520" s="15" t="n">
        <v>66</v>
      </c>
      <c r="D520" s="13" t="inlineStr">
        <is>
          <t>Chevy Express 2500</t>
        </is>
      </c>
      <c r="E520" s="13" t="inlineStr">
        <is>
          <t>Mark Martinez</t>
        </is>
      </c>
      <c r="F520" s="13" t="inlineStr">
        <is>
          <t>mark@hendersonlightingpowergroup.com</t>
        </is>
      </c>
      <c r="G520" s="13" t="inlineStr">
        <is>
          <t>702-555-7460</t>
        </is>
      </c>
      <c r="H520" s="14" t="inlineStr">
        <is>
          <t>DOT29400</t>
        </is>
      </c>
      <c r="I520" s="16" t="n">
        <v>0.081</v>
      </c>
      <c r="J520" s="13" t="inlineStr">
        <is>
          <t>Express Engine Bay Hose Thermal Crack Hazard</t>
        </is>
      </c>
      <c r="K520" s="14" t="inlineStr">
        <is>
          <t>Warm Prospect</t>
        </is>
      </c>
      <c r="L520" s="17">
        <f>IF(C520&gt;0, 99 + (C520 * 2.5), 0)</f>
        <v/>
      </c>
    </row>
    <row r="521">
      <c r="A521" s="8" t="inlineStr">
        <is>
          <t>Las Vegas Electric Pros Inc</t>
        </is>
      </c>
      <c r="B521" s="9" t="inlineStr">
        <is>
          <t>Electrical Services</t>
        </is>
      </c>
      <c r="C521" s="10" t="n">
        <v>77</v>
      </c>
      <c r="D521" s="8" t="inlineStr">
        <is>
          <t>Ram ProMaster 1500</t>
        </is>
      </c>
      <c r="E521" s="8" t="inlineStr">
        <is>
          <t>James Gonzalez</t>
        </is>
      </c>
      <c r="F521" s="8" t="inlineStr">
        <is>
          <t>james@lasvegaselectricprosinc.com</t>
        </is>
      </c>
      <c r="G521" s="8" t="inlineStr">
        <is>
          <t>702-555-9221</t>
        </is>
      </c>
      <c r="H521" s="9" t="inlineStr">
        <is>
          <t>DOT66949</t>
        </is>
      </c>
      <c r="I521" s="11" t="n">
        <v>0.28</v>
      </c>
      <c r="J521" s="8" t="inlineStr">
        <is>
          <t>ProMaster Brake Line Rubbing Collision Abrasion Leak</t>
        </is>
      </c>
      <c r="K521" s="9" t="inlineStr">
        <is>
          <t>Warm Prospect</t>
        </is>
      </c>
      <c r="L521" s="12">
        <f>IF(C521&gt;0, 99 + (C521 * 2.5), 0)</f>
        <v/>
      </c>
    </row>
    <row r="522">
      <c r="A522" s="13" t="inlineStr">
        <is>
          <t>First Choice Plumbing Experts Inc</t>
        </is>
      </c>
      <c r="B522" s="14" t="inlineStr">
        <is>
          <t>HVAC/Plumbing</t>
        </is>
      </c>
      <c r="C522" s="15" t="n">
        <v>111</v>
      </c>
      <c r="D522" s="13" t="inlineStr">
        <is>
          <t>GMC Savana 2500</t>
        </is>
      </c>
      <c r="E522" s="13" t="inlineStr">
        <is>
          <t>Joshua Miller</t>
        </is>
      </c>
      <c r="F522" s="13" t="inlineStr">
        <is>
          <t>joshua@firstchoiceplumbingexpertsinc.com</t>
        </is>
      </c>
      <c r="G522" s="13" t="inlineStr">
        <is>
          <t>702-555-9589</t>
        </is>
      </c>
      <c r="H522" s="14" t="inlineStr">
        <is>
          <t>DOT42275</t>
        </is>
      </c>
      <c r="I522" s="16" t="n">
        <v>0.115</v>
      </c>
      <c r="J522" s="13" t="inlineStr">
        <is>
          <t>Savana Desert Fuel Line Seal Degradation Failure</t>
        </is>
      </c>
      <c r="K522" s="14" t="inlineStr">
        <is>
          <t>Warm Prospect</t>
        </is>
      </c>
      <c r="L522" s="17">
        <f>IF(C522&gt;0, 99 + (C522 * 2.5), 0)</f>
        <v/>
      </c>
    </row>
    <row r="523">
      <c r="A523" s="8" t="inlineStr">
        <is>
          <t>Valley Electric Pros Group</t>
        </is>
      </c>
      <c r="B523" s="9" t="inlineStr">
        <is>
          <t>Electrical Services</t>
        </is>
      </c>
      <c r="C523" s="10" t="n">
        <v>38</v>
      </c>
      <c r="D523" s="8" t="inlineStr">
        <is>
          <t>Chevy Express 2500</t>
        </is>
      </c>
      <c r="E523" s="8" t="inlineStr">
        <is>
          <t>Mark Wilson</t>
        </is>
      </c>
      <c r="F523" s="8" t="inlineStr">
        <is>
          <t>mark@valleyelectricprosgroup.com</t>
        </is>
      </c>
      <c r="G523" s="8" t="inlineStr">
        <is>
          <t>702-555-6984</t>
        </is>
      </c>
      <c r="H523" s="9" t="inlineStr">
        <is>
          <t>DOT55653</t>
        </is>
      </c>
      <c r="I523" s="11" t="n">
        <v>0.099</v>
      </c>
      <c r="J523" s="8" t="inlineStr">
        <is>
          <t>Express Engine Bay Hose Thermal Crack Hazard</t>
        </is>
      </c>
      <c r="K523" s="9" t="inlineStr">
        <is>
          <t>Warm Prospect</t>
        </is>
      </c>
      <c r="L523" s="12">
        <f>IF(C523&gt;0, 99 + (C523 * 2.5), 0)</f>
        <v/>
      </c>
    </row>
    <row r="524">
      <c r="A524" s="13" t="inlineStr">
        <is>
          <t>Vegas Valley Shuttles LLC</t>
        </is>
      </c>
      <c r="B524" s="14" t="inlineStr">
        <is>
          <t>Boutique Transit</t>
        </is>
      </c>
      <c r="C524" s="15" t="n">
        <v>99</v>
      </c>
      <c r="D524" s="13" t="inlineStr">
        <is>
          <t>Mercedes-Benz Sprinter 2500</t>
        </is>
      </c>
      <c r="E524" s="13" t="inlineStr">
        <is>
          <t>Kenneth Anderson</t>
        </is>
      </c>
      <c r="F524" s="13" t="inlineStr">
        <is>
          <t>kenneth@vegasvalleyshuttlesllc.com</t>
        </is>
      </c>
      <c r="G524" s="13" t="inlineStr">
        <is>
          <t>702-555-3389</t>
        </is>
      </c>
      <c r="H524" s="14" t="inlineStr">
        <is>
          <t>DOT67732</t>
        </is>
      </c>
      <c r="I524" s="16" t="n">
        <v>0.054</v>
      </c>
      <c r="J524" s="13" t="inlineStr">
        <is>
          <t>Sprinter AC Comp Condensation Drain Backup Wiring Short</t>
        </is>
      </c>
      <c r="K524" s="14" t="inlineStr">
        <is>
          <t>Warm Prospect</t>
        </is>
      </c>
      <c r="L524" s="17">
        <f>IF(C524&gt;0, 99 + (C524 * 2.5), 0)</f>
        <v/>
      </c>
    </row>
    <row r="525">
      <c r="A525" s="8" t="inlineStr">
        <is>
          <t>Vegas Valley HVAC Services Inc</t>
        </is>
      </c>
      <c r="B525" s="9" t="inlineStr">
        <is>
          <t>HVAC/Plumbing</t>
        </is>
      </c>
      <c r="C525" s="10" t="n">
        <v>38</v>
      </c>
      <c r="D525" s="8" t="inlineStr">
        <is>
          <t>Ford Transit 250</t>
        </is>
      </c>
      <c r="E525" s="8" t="inlineStr">
        <is>
          <t>Michael Davis</t>
        </is>
      </c>
      <c r="F525" s="8" t="inlineStr">
        <is>
          <t>michael@vegasvalleyhvacservicesinc.com</t>
        </is>
      </c>
      <c r="G525" s="8" t="inlineStr">
        <is>
          <t>702-555-3419</t>
        </is>
      </c>
      <c r="H525" s="9" t="inlineStr">
        <is>
          <t>DOT47707</t>
        </is>
      </c>
      <c r="I525" s="11" t="n">
        <v>0.044</v>
      </c>
      <c r="J525" s="8" t="inlineStr">
        <is>
          <t>Transit 114°F Electrical Module Overheat Wire Ground Fire Risk</t>
        </is>
      </c>
      <c r="K525" s="9" t="inlineStr">
        <is>
          <t>Warm Prospect</t>
        </is>
      </c>
      <c r="L525" s="12">
        <f>IF(C525&gt;0, 99 + (C525 * 2.5), 0)</f>
        <v/>
      </c>
    </row>
    <row r="526">
      <c r="A526" s="13" t="inlineStr">
        <is>
          <t>First Choice Wiring Solutions Inc</t>
        </is>
      </c>
      <c r="B526" s="14" t="inlineStr">
        <is>
          <t>Electrical Services</t>
        </is>
      </c>
      <c r="C526" s="15" t="n">
        <v>63</v>
      </c>
      <c r="D526" s="13" t="inlineStr">
        <is>
          <t>Ram ProMaster 2500</t>
        </is>
      </c>
      <c r="E526" s="13" t="inlineStr">
        <is>
          <t>Andrew Miller</t>
        </is>
      </c>
      <c r="F526" s="13" t="inlineStr">
        <is>
          <t>andrew@firstchoicewiringsolutionsinc.com</t>
        </is>
      </c>
      <c r="G526" s="13" t="inlineStr">
        <is>
          <t>702-555-4339</t>
        </is>
      </c>
      <c r="H526" s="14" t="inlineStr">
        <is>
          <t>DOT81620</t>
        </is>
      </c>
      <c r="I526" s="16" t="n">
        <v>0.202</v>
      </c>
      <c r="J526" s="13" t="inlineStr">
        <is>
          <t>ProMaster Brake Line Rubbing Collision Abrasion Leak</t>
        </is>
      </c>
      <c r="K526" s="14" t="inlineStr">
        <is>
          <t>Warm Prospect</t>
        </is>
      </c>
      <c r="L526" s="17">
        <f>IF(C526&gt;0, 99 + (C526 * 2.5), 0)</f>
        <v/>
      </c>
    </row>
    <row r="527">
      <c r="A527" s="8" t="inlineStr">
        <is>
          <t>First Choice Logistics Group</t>
        </is>
      </c>
      <c r="B527" s="9" t="inlineStr">
        <is>
          <t>Boutique Transit</t>
        </is>
      </c>
      <c r="C527" s="10" t="n">
        <v>14</v>
      </c>
      <c r="D527" s="8" t="inlineStr">
        <is>
          <t>Mercedes-Benz Sprinter 2500</t>
        </is>
      </c>
      <c r="E527" s="8" t="inlineStr">
        <is>
          <t>Anthony Jackson</t>
        </is>
      </c>
      <c r="F527" s="8" t="inlineStr">
        <is>
          <t>anthony@firstchoicelogisticsgroup.com</t>
        </is>
      </c>
      <c r="G527" s="8" t="inlineStr">
        <is>
          <t>702-555-9631</t>
        </is>
      </c>
      <c r="H527" s="9" t="inlineStr">
        <is>
          <t>DOT15699</t>
        </is>
      </c>
      <c r="I527" s="11" t="n">
        <v>0.119</v>
      </c>
      <c r="J527" s="8" t="inlineStr">
        <is>
          <t>Sprinter AC Comp Condensation Drain Backup Wiring Short</t>
        </is>
      </c>
      <c r="K527" s="9" t="inlineStr">
        <is>
          <t>Warm Prospect</t>
        </is>
      </c>
      <c r="L527" s="12">
        <f>IF(C527&gt;0, 99 + (C527 * 2.5), 0)</f>
        <v/>
      </c>
    </row>
    <row r="528">
      <c r="A528" s="13" t="inlineStr">
        <is>
          <t>Sunset Electric Pros Group</t>
        </is>
      </c>
      <c r="B528" s="14" t="inlineStr">
        <is>
          <t>Electrical Services</t>
        </is>
      </c>
      <c r="C528" s="15" t="n">
        <v>23</v>
      </c>
      <c r="D528" s="13" t="inlineStr">
        <is>
          <t>Ram ProMaster 2500</t>
        </is>
      </c>
      <c r="E528" s="13" t="inlineStr">
        <is>
          <t>Donald Smith</t>
        </is>
      </c>
      <c r="F528" s="13" t="inlineStr">
        <is>
          <t>donald@sunsetelectricprosgroup.com</t>
        </is>
      </c>
      <c r="G528" s="13" t="inlineStr">
        <is>
          <t>702-555-2091</t>
        </is>
      </c>
      <c r="H528" s="14" t="inlineStr">
        <is>
          <t>DOT60940</t>
        </is>
      </c>
      <c r="I528" s="16" t="n">
        <v>0.245</v>
      </c>
      <c r="J528" s="13" t="inlineStr">
        <is>
          <t>ProMaster Brake Line Rubbing Collision Abrasion Leak</t>
        </is>
      </c>
      <c r="K528" s="14" t="inlineStr">
        <is>
          <t>Warm Prospect</t>
        </is>
      </c>
      <c r="L528" s="17">
        <f>IF(C528&gt;0, 99 + (C528 * 2.5), 0)</f>
        <v/>
      </c>
    </row>
    <row r="529">
      <c r="A529" s="8" t="inlineStr">
        <is>
          <t>Silver State HVAC Services Group</t>
        </is>
      </c>
      <c r="B529" s="9" t="inlineStr">
        <is>
          <t>HVAC/Plumbing</t>
        </is>
      </c>
      <c r="C529" s="10" t="n">
        <v>69</v>
      </c>
      <c r="D529" s="8" t="inlineStr">
        <is>
          <t>GMC Savana 2500</t>
        </is>
      </c>
      <c r="E529" s="8" t="inlineStr">
        <is>
          <t>Anthony Taylor</t>
        </is>
      </c>
      <c r="F529" s="8" t="inlineStr">
        <is>
          <t>anthony@silverstatehvacservicesgroup.com</t>
        </is>
      </c>
      <c r="G529" s="8" t="inlineStr">
        <is>
          <t>702-555-2631</t>
        </is>
      </c>
      <c r="H529" s="9" t="inlineStr">
        <is>
          <t>DOT51347</t>
        </is>
      </c>
      <c r="I529" s="11" t="n">
        <v>0.19</v>
      </c>
      <c r="J529" s="8" t="inlineStr">
        <is>
          <t>Savana Desert Fuel Line Seal Degradation Failure</t>
        </is>
      </c>
      <c r="K529" s="9" t="inlineStr">
        <is>
          <t>Audit Run</t>
        </is>
      </c>
      <c r="L529" s="12">
        <f>IF(C529&gt;0, 99 + (C529 * 2.5), 0)</f>
        <v/>
      </c>
    </row>
    <row r="530">
      <c r="A530" s="13" t="inlineStr">
        <is>
          <t>Apex Airport Express Inc</t>
        </is>
      </c>
      <c r="B530" s="14" t="inlineStr">
        <is>
          <t>Boutique Transit</t>
        </is>
      </c>
      <c r="C530" s="15" t="n">
        <v>127</v>
      </c>
      <c r="D530" s="13" t="inlineStr">
        <is>
          <t>Ford Transit 350</t>
        </is>
      </c>
      <c r="E530" s="13" t="inlineStr">
        <is>
          <t>Andrew Smith</t>
        </is>
      </c>
      <c r="F530" s="13" t="inlineStr">
        <is>
          <t>andrew@apexairportexpressinc.com</t>
        </is>
      </c>
      <c r="G530" s="13" t="inlineStr">
        <is>
          <t>702-555-1651</t>
        </is>
      </c>
      <c r="H530" s="14" t="inlineStr">
        <is>
          <t>DOT42426</t>
        </is>
      </c>
      <c r="I530" s="16" t="n">
        <v>0.326</v>
      </c>
      <c r="J530" s="13" t="inlineStr">
        <is>
          <t>Transit 114°F Electrical Module Overheat Wire Ground Fire Risk</t>
        </is>
      </c>
      <c r="K530" s="14" t="inlineStr">
        <is>
          <t>Warm Prospect</t>
        </is>
      </c>
      <c r="L530" s="17">
        <f>IF(C530&gt;0, 99 + (C530 * 2.5), 0)</f>
        <v/>
      </c>
    </row>
    <row r="531">
      <c r="A531" s="8" t="inlineStr">
        <is>
          <t>First Choice Wiring Solutions Group</t>
        </is>
      </c>
      <c r="B531" s="9" t="inlineStr">
        <is>
          <t>Electrical Services</t>
        </is>
      </c>
      <c r="C531" s="10" t="n">
        <v>14</v>
      </c>
      <c r="D531" s="8" t="inlineStr">
        <is>
          <t>Chevy Express 3500</t>
        </is>
      </c>
      <c r="E531" s="8" t="inlineStr">
        <is>
          <t>Matthew Lopez</t>
        </is>
      </c>
      <c r="F531" s="8" t="inlineStr">
        <is>
          <t>matthew@firstchoicewiringsolutionsgroup.com</t>
        </is>
      </c>
      <c r="G531" s="8" t="inlineStr">
        <is>
          <t>702-555-6822</t>
        </is>
      </c>
      <c r="H531" s="9" t="inlineStr">
        <is>
          <t>DOT91950</t>
        </is>
      </c>
      <c r="I531" s="11" t="n">
        <v>0.134</v>
      </c>
      <c r="J531" s="8" t="inlineStr">
        <is>
          <t>Express Engine Bay Hose Thermal Crack Hazard</t>
        </is>
      </c>
      <c r="K531" s="9" t="inlineStr">
        <is>
          <t>Audit Run</t>
        </is>
      </c>
      <c r="L531" s="12">
        <f>IF(C531&gt;0, 99 + (C531 * 2.5), 0)</f>
        <v/>
      </c>
    </row>
    <row r="532">
      <c r="A532" s="13" t="inlineStr">
        <is>
          <t>Henderson Electric &amp; Solar Group</t>
        </is>
      </c>
      <c r="B532" s="14" t="inlineStr">
        <is>
          <t>Electrical Services</t>
        </is>
      </c>
      <c r="C532" s="15" t="n">
        <v>109</v>
      </c>
      <c r="D532" s="13" t="inlineStr">
        <is>
          <t>Ram ProMaster 2500</t>
        </is>
      </c>
      <c r="E532" s="13" t="inlineStr">
        <is>
          <t>John Moore</t>
        </is>
      </c>
      <c r="F532" s="13" t="inlineStr">
        <is>
          <t>john@hendersonelectricsolargroup.com</t>
        </is>
      </c>
      <c r="G532" s="13" t="inlineStr">
        <is>
          <t>702-555-5590</t>
        </is>
      </c>
      <c r="H532" s="14" t="inlineStr">
        <is>
          <t>DOT39567</t>
        </is>
      </c>
      <c r="I532" s="16" t="n">
        <v>0.08699999999999999</v>
      </c>
      <c r="J532" s="13" t="inlineStr">
        <is>
          <t>ProMaster Brake Line Rubbing Collision Abrasion Leak</t>
        </is>
      </c>
      <c r="K532" s="14" t="inlineStr">
        <is>
          <t>Warm Prospect</t>
        </is>
      </c>
      <c r="L532" s="17">
        <f>IF(C532&gt;0, 99 + (C532 * 2.5), 0)</f>
        <v/>
      </c>
    </row>
    <row r="533">
      <c r="A533" s="8" t="inlineStr">
        <is>
          <t>Red Rock Shuttles Group</t>
        </is>
      </c>
      <c r="B533" s="9" t="inlineStr">
        <is>
          <t>Boutique Transit</t>
        </is>
      </c>
      <c r="C533" s="10" t="n">
        <v>143</v>
      </c>
      <c r="D533" s="8" t="inlineStr">
        <is>
          <t>Mercedes-Benz Sprinter 3500</t>
        </is>
      </c>
      <c r="E533" s="8" t="inlineStr">
        <is>
          <t>Kenneth Davis</t>
        </is>
      </c>
      <c r="F533" s="8" t="inlineStr">
        <is>
          <t>kenneth@redrockshuttlesgroup.com</t>
        </is>
      </c>
      <c r="G533" s="8" t="inlineStr">
        <is>
          <t>702-555-7837</t>
        </is>
      </c>
      <c r="H533" s="9" t="inlineStr">
        <is>
          <t>DOT41504</t>
        </is>
      </c>
      <c r="I533" s="11" t="n">
        <v>0.218</v>
      </c>
      <c r="J533" s="8" t="inlineStr">
        <is>
          <t>Sprinter AC Comp Condensation Drain Backup Wiring Short</t>
        </is>
      </c>
      <c r="K533" s="9" t="inlineStr">
        <is>
          <t>Warm Prospect</t>
        </is>
      </c>
      <c r="L533" s="12">
        <f>IF(C533&gt;0, 99 + (C533 * 2.5), 0)</f>
        <v/>
      </c>
    </row>
    <row r="534">
      <c r="A534" s="13" t="inlineStr">
        <is>
          <t>Spring Valley Lighting &amp; Power LLC</t>
        </is>
      </c>
      <c r="B534" s="14" t="inlineStr">
        <is>
          <t>Electrical Services</t>
        </is>
      </c>
      <c r="C534" s="15" t="n">
        <v>148</v>
      </c>
      <c r="D534" s="13" t="inlineStr">
        <is>
          <t>Ram ProMaster 1500</t>
        </is>
      </c>
      <c r="E534" s="13" t="inlineStr">
        <is>
          <t>David Miller</t>
        </is>
      </c>
      <c r="F534" s="13" t="inlineStr">
        <is>
          <t>david@springvalleylightingpowerllc.com</t>
        </is>
      </c>
      <c r="G534" s="13" t="inlineStr">
        <is>
          <t>702-555-3270</t>
        </is>
      </c>
      <c r="H534" s="14" t="inlineStr">
        <is>
          <t>DOT86156</t>
        </is>
      </c>
      <c r="I534" s="16" t="n">
        <v>0.208</v>
      </c>
      <c r="J534" s="13" t="inlineStr">
        <is>
          <t>ProMaster Brake Line Rubbing Collision Abrasion Leak</t>
        </is>
      </c>
      <c r="K534" s="14" t="inlineStr">
        <is>
          <t>Warm Prospect</t>
        </is>
      </c>
      <c r="L534" s="17">
        <f>IF(C534&gt;0, 99 + (C534 * 2.5), 0)</f>
        <v/>
      </c>
    </row>
    <row r="535">
      <c r="A535" s="8" t="inlineStr">
        <is>
          <t>Mojave Mechanical Services Group</t>
        </is>
      </c>
      <c r="B535" s="9" t="inlineStr">
        <is>
          <t>HVAC/Plumbing</t>
        </is>
      </c>
      <c r="C535" s="10" t="n">
        <v>44</v>
      </c>
      <c r="D535" s="8" t="inlineStr">
        <is>
          <t>Chevy Express 2500</t>
        </is>
      </c>
      <c r="E535" s="8" t="inlineStr">
        <is>
          <t>Mark Jones</t>
        </is>
      </c>
      <c r="F535" s="8" t="inlineStr">
        <is>
          <t>mark@mojavemechanicalservicesgroup.com</t>
        </is>
      </c>
      <c r="G535" s="8" t="inlineStr">
        <is>
          <t>702-555-3589</t>
        </is>
      </c>
      <c r="H535" s="9" t="inlineStr">
        <is>
          <t>DOT51614</t>
        </is>
      </c>
      <c r="I535" s="11" t="n">
        <v>0.061</v>
      </c>
      <c r="J535" s="8" t="inlineStr">
        <is>
          <t>Express Engine Bay Hose Thermal Crack Hazard</t>
        </is>
      </c>
      <c r="K535" s="9" t="inlineStr">
        <is>
          <t>Audit Run</t>
        </is>
      </c>
      <c r="L535" s="12">
        <f>IF(C535&gt;0, 99 + (C535 * 2.5), 0)</f>
        <v/>
      </c>
    </row>
    <row r="536">
      <c r="A536" s="13" t="inlineStr">
        <is>
          <t>Apex Airport Express LLC</t>
        </is>
      </c>
      <c r="B536" s="14" t="inlineStr">
        <is>
          <t>Boutique Transit</t>
        </is>
      </c>
      <c r="C536" s="15" t="n">
        <v>17</v>
      </c>
      <c r="D536" s="13" t="inlineStr">
        <is>
          <t>Mercedes-Benz Sprinter 2500</t>
        </is>
      </c>
      <c r="E536" s="13" t="inlineStr">
        <is>
          <t>Daniel Wilson</t>
        </is>
      </c>
      <c r="F536" s="13" t="inlineStr">
        <is>
          <t>daniel@apexairportexpressllc.com</t>
        </is>
      </c>
      <c r="G536" s="13" t="inlineStr">
        <is>
          <t>702-555-7737</t>
        </is>
      </c>
      <c r="H536" s="14" t="inlineStr">
        <is>
          <t>DOT49760</t>
        </is>
      </c>
      <c r="I536" s="16" t="n">
        <v>0.177</v>
      </c>
      <c r="J536" s="13" t="inlineStr">
        <is>
          <t>Sprinter AC Comp Condensation Drain Backup Wiring Short</t>
        </is>
      </c>
      <c r="K536" s="14" t="inlineStr">
        <is>
          <t>Warm Prospect</t>
        </is>
      </c>
      <c r="L536" s="17">
        <f>IF(C536&gt;0, 99 + (C536 * 2.5), 0)</f>
        <v/>
      </c>
    </row>
    <row r="537">
      <c r="A537" s="8" t="inlineStr">
        <is>
          <t>Henderson Plumbing &amp; Drain Inc</t>
        </is>
      </c>
      <c r="B537" s="9" t="inlineStr">
        <is>
          <t>HVAC/Plumbing</t>
        </is>
      </c>
      <c r="C537" s="10" t="n">
        <v>57</v>
      </c>
      <c r="D537" s="8" t="inlineStr">
        <is>
          <t>Ford Transit 350</t>
        </is>
      </c>
      <c r="E537" s="8" t="inlineStr">
        <is>
          <t>John Martin</t>
        </is>
      </c>
      <c r="F537" s="8" t="inlineStr">
        <is>
          <t>john@hendersonplumbingdraininc.com</t>
        </is>
      </c>
      <c r="G537" s="8" t="inlineStr">
        <is>
          <t>702-555-5372</t>
        </is>
      </c>
      <c r="H537" s="9" t="inlineStr">
        <is>
          <t>DOT89377</t>
        </is>
      </c>
      <c r="I537" s="11" t="n">
        <v>0.216</v>
      </c>
      <c r="J537" s="8" t="inlineStr">
        <is>
          <t>Transit 114°F Electrical Module Overheat Wire Ground Fire Risk</t>
        </is>
      </c>
      <c r="K537" s="9" t="inlineStr">
        <is>
          <t>Warm Prospect</t>
        </is>
      </c>
      <c r="L537" s="12">
        <f>IF(C537&gt;0, 99 + (C537 * 2.5), 0)</f>
        <v/>
      </c>
    </row>
    <row r="538">
      <c r="A538" s="13" t="inlineStr">
        <is>
          <t>Sunset Airport Express Group</t>
        </is>
      </c>
      <c r="B538" s="14" t="inlineStr">
        <is>
          <t>Boutique Transit</t>
        </is>
      </c>
      <c r="C538" s="15" t="n">
        <v>101</v>
      </c>
      <c r="D538" s="13" t="inlineStr">
        <is>
          <t>Mercedes-Benz Sprinter 2500</t>
        </is>
      </c>
      <c r="E538" s="13" t="inlineStr">
        <is>
          <t>James Thomas</t>
        </is>
      </c>
      <c r="F538" s="13" t="inlineStr">
        <is>
          <t>james@sunsetairportexpressgroup.com</t>
        </is>
      </c>
      <c r="G538" s="13" t="inlineStr">
        <is>
          <t>702-555-3196</t>
        </is>
      </c>
      <c r="H538" s="14" t="inlineStr">
        <is>
          <t>DOT75840</t>
        </is>
      </c>
      <c r="I538" s="16" t="n">
        <v>0.302</v>
      </c>
      <c r="J538" s="13" t="inlineStr">
        <is>
          <t>Sprinter AC Comp Condensation Drain Backup Wiring Short</t>
        </is>
      </c>
      <c r="K538" s="14" t="inlineStr">
        <is>
          <t>Warm Prospect</t>
        </is>
      </c>
      <c r="L538" s="17">
        <f>IF(C538&gt;0, 99 + (C538 * 2.5), 0)</f>
        <v/>
      </c>
    </row>
    <row r="539">
      <c r="A539" s="8" t="inlineStr">
        <is>
          <t>Vegas Valley Chauffeurs Inc</t>
        </is>
      </c>
      <c r="B539" s="9" t="inlineStr">
        <is>
          <t>Boutique Transit</t>
        </is>
      </c>
      <c r="C539" s="10" t="n">
        <v>135</v>
      </c>
      <c r="D539" s="8" t="inlineStr">
        <is>
          <t>Mercedes-Benz Sprinter 3500</t>
        </is>
      </c>
      <c r="E539" s="8" t="inlineStr">
        <is>
          <t>Steven Jones</t>
        </is>
      </c>
      <c r="F539" s="8" t="inlineStr">
        <is>
          <t>steven@vegasvalleychauffeursinc.com</t>
        </is>
      </c>
      <c r="G539" s="8" t="inlineStr">
        <is>
          <t>702-555-3683</t>
        </is>
      </c>
      <c r="H539" s="9" t="inlineStr">
        <is>
          <t>DOT35330</t>
        </is>
      </c>
      <c r="I539" s="11" t="n">
        <v>0.11</v>
      </c>
      <c r="J539" s="8" t="inlineStr">
        <is>
          <t>Sprinter AC Comp Condensation Drain Backup Wiring Short</t>
        </is>
      </c>
      <c r="K539" s="9" t="inlineStr">
        <is>
          <t>Warm Prospect</t>
        </is>
      </c>
      <c r="L539" s="12">
        <f>IF(C539&gt;0, 99 + (C539 * 2.5), 0)</f>
        <v/>
      </c>
    </row>
    <row r="540">
      <c r="A540" s="13" t="inlineStr">
        <is>
          <t>Spring Valley HVAC Services LLC</t>
        </is>
      </c>
      <c r="B540" s="14" t="inlineStr">
        <is>
          <t>HVAC/Plumbing</t>
        </is>
      </c>
      <c r="C540" s="15" t="n">
        <v>61</v>
      </c>
      <c r="D540" s="13" t="inlineStr">
        <is>
          <t>Ford Transit 350</t>
        </is>
      </c>
      <c r="E540" s="13" t="inlineStr">
        <is>
          <t>Richard Williams</t>
        </is>
      </c>
      <c r="F540" s="13" t="inlineStr">
        <is>
          <t>richard@springvalleyhvacservicesllc.com</t>
        </is>
      </c>
      <c r="G540" s="13" t="inlineStr">
        <is>
          <t>702-555-3901</t>
        </is>
      </c>
      <c r="H540" s="14" t="inlineStr">
        <is>
          <t>DOT67577</t>
        </is>
      </c>
      <c r="I540" s="16" t="n">
        <v>0.309</v>
      </c>
      <c r="J540" s="13" t="inlineStr">
        <is>
          <t>Transit 114°F Electrical Module Overheat Wire Ground Fire Risk</t>
        </is>
      </c>
      <c r="K540" s="14" t="inlineStr">
        <is>
          <t>Warm Prospect</t>
        </is>
      </c>
      <c r="L540" s="17">
        <f>IF(C540&gt;0, 99 + (C540 * 2.5), 0)</f>
        <v/>
      </c>
    </row>
    <row r="541">
      <c r="A541" s="8" t="inlineStr">
        <is>
          <t>Valley Tours &amp; Transit Inc</t>
        </is>
      </c>
      <c r="B541" s="9" t="inlineStr">
        <is>
          <t>Boutique Transit</t>
        </is>
      </c>
      <c r="C541" s="10" t="n">
        <v>113</v>
      </c>
      <c r="D541" s="8" t="inlineStr">
        <is>
          <t>Mercedes-Benz Sprinter 3500</t>
        </is>
      </c>
      <c r="E541" s="8" t="inlineStr">
        <is>
          <t>Michael Martin</t>
        </is>
      </c>
      <c r="F541" s="8" t="inlineStr">
        <is>
          <t>michael@valleytourstransitinc.com</t>
        </is>
      </c>
      <c r="G541" s="8" t="inlineStr">
        <is>
          <t>702-555-7232</t>
        </is>
      </c>
      <c r="H541" s="9" t="inlineStr">
        <is>
          <t>DOT51012</t>
        </is>
      </c>
      <c r="I541" s="11" t="n">
        <v>0.162</v>
      </c>
      <c r="J541" s="8" t="inlineStr">
        <is>
          <t>Sprinter AC Comp Condensation Drain Backup Wiring Short</t>
        </is>
      </c>
      <c r="K541" s="9" t="inlineStr">
        <is>
          <t>Audit Run</t>
        </is>
      </c>
      <c r="L541" s="12">
        <f>IF(C541&gt;0, 99 + (C541 * 2.5), 0)</f>
        <v/>
      </c>
    </row>
    <row r="542">
      <c r="A542" s="13" t="inlineStr">
        <is>
          <t>High Rise Logistics Group</t>
        </is>
      </c>
      <c r="B542" s="14" t="inlineStr">
        <is>
          <t>Boutique Transit</t>
        </is>
      </c>
      <c r="C542" s="15" t="n">
        <v>19</v>
      </c>
      <c r="D542" s="13" t="inlineStr">
        <is>
          <t>Ford Transit 350</t>
        </is>
      </c>
      <c r="E542" s="13" t="inlineStr">
        <is>
          <t>Paul Brown</t>
        </is>
      </c>
      <c r="F542" s="13" t="inlineStr">
        <is>
          <t>paul@highriselogisticsgroup.com</t>
        </is>
      </c>
      <c r="G542" s="13" t="inlineStr">
        <is>
          <t>702-555-8399</t>
        </is>
      </c>
      <c r="H542" s="14" t="inlineStr">
        <is>
          <t>DOT69886</t>
        </is>
      </c>
      <c r="I542" s="16" t="n">
        <v>0.296</v>
      </c>
      <c r="J542" s="13" t="inlineStr">
        <is>
          <t>Transit 114°F Electrical Module Overheat Wire Ground Fire Risk</t>
        </is>
      </c>
      <c r="K542" s="14" t="inlineStr">
        <is>
          <t>Warm Prospect</t>
        </is>
      </c>
      <c r="L542" s="17">
        <f>IF(C542&gt;0, 99 + (C542 * 2.5), 0)</f>
        <v/>
      </c>
    </row>
    <row r="543">
      <c r="A543" s="8" t="inlineStr">
        <is>
          <t>High Rise Plumbing Experts LLC</t>
        </is>
      </c>
      <c r="B543" s="9" t="inlineStr">
        <is>
          <t>HVAC/Plumbing</t>
        </is>
      </c>
      <c r="C543" s="10" t="n">
        <v>109</v>
      </c>
      <c r="D543" s="8" t="inlineStr">
        <is>
          <t>Ford Transit 250</t>
        </is>
      </c>
      <c r="E543" s="8" t="inlineStr">
        <is>
          <t>Paul Johnson</t>
        </is>
      </c>
      <c r="F543" s="8" t="inlineStr">
        <is>
          <t>paul@highriseplumbingexpertsllc.com</t>
        </is>
      </c>
      <c r="G543" s="8" t="inlineStr">
        <is>
          <t>702-555-4110</t>
        </is>
      </c>
      <c r="H543" s="9" t="inlineStr">
        <is>
          <t>DOT48165</t>
        </is>
      </c>
      <c r="I543" s="11" t="n">
        <v>0.176</v>
      </c>
      <c r="J543" s="8" t="inlineStr">
        <is>
          <t>Transit 114°F Electrical Module Overheat Wire Ground Fire Risk</t>
        </is>
      </c>
      <c r="K543" s="9" t="inlineStr">
        <is>
          <t>Warm Prospect</t>
        </is>
      </c>
      <c r="L543" s="12">
        <f>IF(C543&gt;0, 99 + (C543 * 2.5), 0)</f>
        <v/>
      </c>
    </row>
    <row r="544">
      <c r="A544" s="13" t="inlineStr">
        <is>
          <t>First Choice Power Systems LLC</t>
        </is>
      </c>
      <c r="B544" s="14" t="inlineStr">
        <is>
          <t>Electrical Services</t>
        </is>
      </c>
      <c r="C544" s="15" t="n">
        <v>23</v>
      </c>
      <c r="D544" s="13" t="inlineStr">
        <is>
          <t>Ram ProMaster 2500</t>
        </is>
      </c>
      <c r="E544" s="13" t="inlineStr">
        <is>
          <t>Paul Jones</t>
        </is>
      </c>
      <c r="F544" s="13" t="inlineStr">
        <is>
          <t>paul@firstchoicepowersystemsllc.com</t>
        </is>
      </c>
      <c r="G544" s="13" t="inlineStr">
        <is>
          <t>702-555-8595</t>
        </is>
      </c>
      <c r="H544" s="14" t="inlineStr">
        <is>
          <t>DOT94685</t>
        </is>
      </c>
      <c r="I544" s="16" t="n">
        <v>0.18</v>
      </c>
      <c r="J544" s="13" t="inlineStr">
        <is>
          <t>ProMaster Brake Line Rubbing Collision Abrasion Leak</t>
        </is>
      </c>
      <c r="K544" s="14" t="inlineStr">
        <is>
          <t>Audit Run</t>
        </is>
      </c>
      <c r="L544" s="17">
        <f>IF(C544&gt;0, 99 + (C544 * 2.5), 0)</f>
        <v/>
      </c>
    </row>
    <row r="545">
      <c r="A545" s="8" t="inlineStr">
        <is>
          <t>Red Rock Plumbing Experts Group</t>
        </is>
      </c>
      <c r="B545" s="9" t="inlineStr">
        <is>
          <t>HVAC/Plumbing</t>
        </is>
      </c>
      <c r="C545" s="10" t="n">
        <v>44</v>
      </c>
      <c r="D545" s="8" t="inlineStr">
        <is>
          <t>Chevy Express 2500</t>
        </is>
      </c>
      <c r="E545" s="8" t="inlineStr">
        <is>
          <t>Anthony Wilson</t>
        </is>
      </c>
      <c r="F545" s="8" t="inlineStr">
        <is>
          <t>anthony@redrockplumbingexpertsgroup.com</t>
        </is>
      </c>
      <c r="G545" s="8" t="inlineStr">
        <is>
          <t>702-555-6299</t>
        </is>
      </c>
      <c r="H545" s="9" t="inlineStr">
        <is>
          <t>DOT69098</t>
        </is>
      </c>
      <c r="I545" s="11" t="n">
        <v>0.048</v>
      </c>
      <c r="J545" s="8" t="inlineStr">
        <is>
          <t>Express Engine Bay Hose Thermal Crack Hazard</t>
        </is>
      </c>
      <c r="K545" s="9" t="inlineStr">
        <is>
          <t>Warm Prospect</t>
        </is>
      </c>
      <c r="L545" s="12">
        <f>IF(C545&gt;0, 99 + (C545 * 2.5), 0)</f>
        <v/>
      </c>
    </row>
    <row r="546">
      <c r="A546" s="13" t="inlineStr">
        <is>
          <t>Spring Valley Charter Buses Inc</t>
        </is>
      </c>
      <c r="B546" s="14" t="inlineStr">
        <is>
          <t>Boutique Transit</t>
        </is>
      </c>
      <c r="C546" s="15" t="n">
        <v>33</v>
      </c>
      <c r="D546" s="13" t="inlineStr">
        <is>
          <t>Mercedes-Benz Sprinter 3500</t>
        </is>
      </c>
      <c r="E546" s="13" t="inlineStr">
        <is>
          <t>Charles Hernandez</t>
        </is>
      </c>
      <c r="F546" s="13" t="inlineStr">
        <is>
          <t>charles@springvalleycharterbusesinc.com</t>
        </is>
      </c>
      <c r="G546" s="13" t="inlineStr">
        <is>
          <t>702-555-3686</t>
        </is>
      </c>
      <c r="H546" s="14" t="inlineStr">
        <is>
          <t>DOT26193</t>
        </is>
      </c>
      <c r="I546" s="16" t="n">
        <v>0.068</v>
      </c>
      <c r="J546" s="13" t="inlineStr">
        <is>
          <t>Sprinter AC Comp Condensation Drain Backup Wiring Short</t>
        </is>
      </c>
      <c r="K546" s="14" t="inlineStr">
        <is>
          <t>Warm Prospect</t>
        </is>
      </c>
      <c r="L546" s="17">
        <f>IF(C546&gt;0, 99 + (C546 * 2.5), 0)</f>
        <v/>
      </c>
    </row>
    <row r="547">
      <c r="A547" s="8" t="inlineStr">
        <is>
          <t>Valley Shuttles Group</t>
        </is>
      </c>
      <c r="B547" s="9" t="inlineStr">
        <is>
          <t>Boutique Transit</t>
        </is>
      </c>
      <c r="C547" s="10" t="n">
        <v>108</v>
      </c>
      <c r="D547" s="8" t="inlineStr">
        <is>
          <t>Ford Transit 350</t>
        </is>
      </c>
      <c r="E547" s="8" t="inlineStr">
        <is>
          <t>Paul Martin</t>
        </is>
      </c>
      <c r="F547" s="8" t="inlineStr">
        <is>
          <t>paul@valleyshuttlesgroup.com</t>
        </is>
      </c>
      <c r="G547" s="8" t="inlineStr">
        <is>
          <t>702-555-3619</t>
        </is>
      </c>
      <c r="H547" s="9" t="inlineStr">
        <is>
          <t>DOT59634</t>
        </is>
      </c>
      <c r="I547" s="11" t="n">
        <v>0.211</v>
      </c>
      <c r="J547" s="8" t="inlineStr">
        <is>
          <t>Transit 114°F Electrical Module Overheat Wire Ground Fire Risk</t>
        </is>
      </c>
      <c r="K547" s="9" t="inlineStr">
        <is>
          <t>Warm Prospect</t>
        </is>
      </c>
      <c r="L547" s="12">
        <f>IF(C547&gt;0, 99 + (C547 * 2.5), 0)</f>
        <v/>
      </c>
    </row>
    <row r="548">
      <c r="A548" s="13" t="inlineStr">
        <is>
          <t>Spring Valley HVAC Services Group</t>
        </is>
      </c>
      <c r="B548" s="14" t="inlineStr">
        <is>
          <t>HVAC/Plumbing</t>
        </is>
      </c>
      <c r="C548" s="15" t="n">
        <v>51</v>
      </c>
      <c r="D548" s="13" t="inlineStr">
        <is>
          <t>Ford Transit 350</t>
        </is>
      </c>
      <c r="E548" s="13" t="inlineStr">
        <is>
          <t>David Garcia</t>
        </is>
      </c>
      <c r="F548" s="13" t="inlineStr">
        <is>
          <t>david@springvalleyhvacservicesgroup.com</t>
        </is>
      </c>
      <c r="G548" s="13" t="inlineStr">
        <is>
          <t>702-555-1840</t>
        </is>
      </c>
      <c r="H548" s="14" t="inlineStr">
        <is>
          <t>DOT64995</t>
        </is>
      </c>
      <c r="I548" s="16" t="n">
        <v>0.135</v>
      </c>
      <c r="J548" s="13" t="inlineStr">
        <is>
          <t>Transit 114°F Electrical Module Overheat Wire Ground Fire Risk</t>
        </is>
      </c>
      <c r="K548" s="14" t="inlineStr">
        <is>
          <t>Warm Prospect</t>
        </is>
      </c>
      <c r="L548" s="17">
        <f>IF(C548&gt;0, 99 + (C548 * 2.5), 0)</f>
        <v/>
      </c>
    </row>
    <row r="549">
      <c r="A549" s="8" t="inlineStr">
        <is>
          <t>Vegas Valley Power Systems Inc</t>
        </is>
      </c>
      <c r="B549" s="9" t="inlineStr">
        <is>
          <t>Electrical Services</t>
        </is>
      </c>
      <c r="C549" s="10" t="n">
        <v>61</v>
      </c>
      <c r="D549" s="8" t="inlineStr">
        <is>
          <t>Chevy Express 3500</t>
        </is>
      </c>
      <c r="E549" s="8" t="inlineStr">
        <is>
          <t>John Martin</t>
        </is>
      </c>
      <c r="F549" s="8" t="inlineStr">
        <is>
          <t>john@vegasvalleypowersystemsinc.com</t>
        </is>
      </c>
      <c r="G549" s="8" t="inlineStr">
        <is>
          <t>702-555-5146</t>
        </is>
      </c>
      <c r="H549" s="9" t="inlineStr">
        <is>
          <t>DOT11600</t>
        </is>
      </c>
      <c r="I549" s="11" t="n">
        <v>0.182</v>
      </c>
      <c r="J549" s="8" t="inlineStr">
        <is>
          <t>Express Engine Bay Hose Thermal Crack Hazard</t>
        </is>
      </c>
      <c r="K549" s="9" t="inlineStr">
        <is>
          <t>Warm Prospect</t>
        </is>
      </c>
      <c r="L549" s="12">
        <f>IF(C549&gt;0, 99 + (C549 * 2.5), 0)</f>
        <v/>
      </c>
    </row>
    <row r="550">
      <c r="A550" s="13" t="inlineStr">
        <is>
          <t>Henderson Shuttles Group</t>
        </is>
      </c>
      <c r="B550" s="14" t="inlineStr">
        <is>
          <t>Boutique Transit</t>
        </is>
      </c>
      <c r="C550" s="15" t="n">
        <v>70</v>
      </c>
      <c r="D550" s="13" t="inlineStr">
        <is>
          <t>Mercedes-Benz Sprinter 3500</t>
        </is>
      </c>
      <c r="E550" s="13" t="inlineStr">
        <is>
          <t>Richard Jackson</t>
        </is>
      </c>
      <c r="F550" s="13" t="inlineStr">
        <is>
          <t>richard@hendersonshuttlesgroup.com</t>
        </is>
      </c>
      <c r="G550" s="13" t="inlineStr">
        <is>
          <t>702-555-8794</t>
        </is>
      </c>
      <c r="H550" s="14" t="inlineStr">
        <is>
          <t>DOT69472</t>
        </is>
      </c>
      <c r="I550" s="16" t="n">
        <v>0.167</v>
      </c>
      <c r="J550" s="13" t="inlineStr">
        <is>
          <t>Sprinter AC Comp Condensation Drain Backup Wiring Short</t>
        </is>
      </c>
      <c r="K550" s="14" t="inlineStr">
        <is>
          <t>Warm Prospect</t>
        </is>
      </c>
      <c r="L550" s="17">
        <f>IF(C550&gt;0, 99 + (C550 * 2.5), 0)</f>
        <v/>
      </c>
    </row>
    <row r="551">
      <c r="A551" s="8" t="inlineStr">
        <is>
          <t>Las Vegas Shuttles Inc</t>
        </is>
      </c>
      <c r="B551" s="9" t="inlineStr">
        <is>
          <t>Boutique Transit</t>
        </is>
      </c>
      <c r="C551" s="10" t="n">
        <v>81</v>
      </c>
      <c r="D551" s="8" t="inlineStr">
        <is>
          <t>Ford Transit 350</t>
        </is>
      </c>
      <c r="E551" s="8" t="inlineStr">
        <is>
          <t>Kenneth Moore</t>
        </is>
      </c>
      <c r="F551" s="8" t="inlineStr">
        <is>
          <t>kenneth@lasvegasshuttlesinc.com</t>
        </is>
      </c>
      <c r="G551" s="8" t="inlineStr">
        <is>
          <t>702-555-4401</t>
        </is>
      </c>
      <c r="H551" s="9" t="inlineStr">
        <is>
          <t>DOT16411</t>
        </is>
      </c>
      <c r="I551" s="11" t="n">
        <v>0.097</v>
      </c>
      <c r="J551" s="8" t="inlineStr">
        <is>
          <t>Transit 114°F Electrical Module Overheat Wire Ground Fire Risk</t>
        </is>
      </c>
      <c r="K551" s="9" t="inlineStr">
        <is>
          <t>Warm Prospect</t>
        </is>
      </c>
      <c r="L551" s="12">
        <f>IF(C551&gt;0, 99 + (C551 * 2.5), 0)</f>
        <v/>
      </c>
    </row>
    <row r="552">
      <c r="A552" s="13" t="inlineStr">
        <is>
          <t>Valley Shuttles Inc</t>
        </is>
      </c>
      <c r="B552" s="14" t="inlineStr">
        <is>
          <t>Boutique Transit</t>
        </is>
      </c>
      <c r="C552" s="15" t="n">
        <v>86</v>
      </c>
      <c r="D552" s="13" t="inlineStr">
        <is>
          <t>Mercedes-Benz Sprinter 2500</t>
        </is>
      </c>
      <c r="E552" s="13" t="inlineStr">
        <is>
          <t>Daniel Williams</t>
        </is>
      </c>
      <c r="F552" s="13" t="inlineStr">
        <is>
          <t>daniel@valleyshuttlesinc.com</t>
        </is>
      </c>
      <c r="G552" s="13" t="inlineStr">
        <is>
          <t>702-555-1803</t>
        </is>
      </c>
      <c r="H552" s="14" t="inlineStr">
        <is>
          <t>DOT24272</t>
        </is>
      </c>
      <c r="I552" s="16" t="n">
        <v>0.169</v>
      </c>
      <c r="J552" s="13" t="inlineStr">
        <is>
          <t>Sprinter AC Comp Condensation Drain Backup Wiring Short</t>
        </is>
      </c>
      <c r="K552" s="14" t="inlineStr">
        <is>
          <t>Warm Prospect</t>
        </is>
      </c>
      <c r="L552" s="17">
        <f>IF(C552&gt;0, 99 + (C552 * 2.5), 0)</f>
        <v/>
      </c>
    </row>
    <row r="553">
      <c r="A553" s="8" t="inlineStr">
        <is>
          <t>Vegas Valley HVAC Services Group</t>
        </is>
      </c>
      <c r="B553" s="9" t="inlineStr">
        <is>
          <t>HVAC/Plumbing</t>
        </is>
      </c>
      <c r="C553" s="10" t="n">
        <v>55</v>
      </c>
      <c r="D553" s="8" t="inlineStr">
        <is>
          <t>Chevy Express 2500</t>
        </is>
      </c>
      <c r="E553" s="8" t="inlineStr">
        <is>
          <t>Donald Jackson</t>
        </is>
      </c>
      <c r="F553" s="8" t="inlineStr">
        <is>
          <t>donald@vegasvalleyhvacservicesgroup.com</t>
        </is>
      </c>
      <c r="G553" s="8" t="inlineStr">
        <is>
          <t>702-555-6901</t>
        </is>
      </c>
      <c r="H553" s="9" t="inlineStr">
        <is>
          <t>DOT14697</t>
        </is>
      </c>
      <c r="I553" s="11" t="n">
        <v>0.06900000000000001</v>
      </c>
      <c r="J553" s="8" t="inlineStr">
        <is>
          <t>Express Engine Bay Hose Thermal Crack Hazard</t>
        </is>
      </c>
      <c r="K553" s="9" t="inlineStr">
        <is>
          <t>Warm Prospect</t>
        </is>
      </c>
      <c r="L553" s="12">
        <f>IF(C553&gt;0, 99 + (C553 * 2.5), 0)</f>
        <v/>
      </c>
    </row>
    <row r="554">
      <c r="A554" s="13" t="inlineStr">
        <is>
          <t>Valley Wiring Solutions Inc</t>
        </is>
      </c>
      <c r="B554" s="14" t="inlineStr">
        <is>
          <t>Electrical Services</t>
        </is>
      </c>
      <c r="C554" s="15" t="n">
        <v>150</v>
      </c>
      <c r="D554" s="13" t="inlineStr">
        <is>
          <t>Ram ProMaster 1500</t>
        </is>
      </c>
      <c r="E554" s="13" t="inlineStr">
        <is>
          <t>James Martinez</t>
        </is>
      </c>
      <c r="F554" s="13" t="inlineStr">
        <is>
          <t>james@valleywiringsolutionsinc.com</t>
        </is>
      </c>
      <c r="G554" s="13" t="inlineStr">
        <is>
          <t>702-555-8713</t>
        </is>
      </c>
      <c r="H554" s="14" t="inlineStr">
        <is>
          <t>DOT27635</t>
        </is>
      </c>
      <c r="I554" s="16" t="n">
        <v>0.078</v>
      </c>
      <c r="J554" s="13" t="inlineStr">
        <is>
          <t>ProMaster Brake Line Rubbing Collision Abrasion Leak</t>
        </is>
      </c>
      <c r="K554" s="14" t="inlineStr">
        <is>
          <t>Warm Prospect</t>
        </is>
      </c>
      <c r="L554" s="17">
        <f>IF(C554&gt;0, 99 + (C554 * 2.5), 0)</f>
        <v/>
      </c>
    </row>
    <row r="555">
      <c r="A555" s="8" t="inlineStr">
        <is>
          <t>High Rise Wiring Solutions Group</t>
        </is>
      </c>
      <c r="B555" s="9" t="inlineStr">
        <is>
          <t>Electrical Services</t>
        </is>
      </c>
      <c r="C555" s="10" t="n">
        <v>63</v>
      </c>
      <c r="D555" s="8" t="inlineStr">
        <is>
          <t>Chevy Express 3500</t>
        </is>
      </c>
      <c r="E555" s="8" t="inlineStr">
        <is>
          <t>Kenneth Johnson</t>
        </is>
      </c>
      <c r="F555" s="8" t="inlineStr">
        <is>
          <t>kenneth@highrisewiringsolutionsgroup.com</t>
        </is>
      </c>
      <c r="G555" s="8" t="inlineStr">
        <is>
          <t>702-555-2790</t>
        </is>
      </c>
      <c r="H555" s="9" t="inlineStr">
        <is>
          <t>DOT84890</t>
        </is>
      </c>
      <c r="I555" s="11" t="n">
        <v>0.266</v>
      </c>
      <c r="J555" s="8" t="inlineStr">
        <is>
          <t>Express Engine Bay Hose Thermal Crack Hazard</t>
        </is>
      </c>
      <c r="K555" s="9" t="inlineStr">
        <is>
          <t>Audit Run</t>
        </is>
      </c>
      <c r="L555" s="12">
        <f>IF(C555&gt;0, 99 + (C555 * 2.5), 0)</f>
        <v/>
      </c>
    </row>
    <row r="556">
      <c r="A556" s="13" t="inlineStr">
        <is>
          <t>First Choice Mechanical Services Group</t>
        </is>
      </c>
      <c r="B556" s="14" t="inlineStr">
        <is>
          <t>HVAC/Plumbing</t>
        </is>
      </c>
      <c r="C556" s="15" t="n">
        <v>83</v>
      </c>
      <c r="D556" s="13" t="inlineStr">
        <is>
          <t>Chevy Express 2500</t>
        </is>
      </c>
      <c r="E556" s="13" t="inlineStr">
        <is>
          <t>Mark Martin</t>
        </is>
      </c>
      <c r="F556" s="13" t="inlineStr">
        <is>
          <t>mark@firstchoicemechanicalservicesgroup.com</t>
        </is>
      </c>
      <c r="G556" s="13" t="inlineStr">
        <is>
          <t>702-555-6185</t>
        </is>
      </c>
      <c r="H556" s="14" t="inlineStr">
        <is>
          <t>DOT44034</t>
        </is>
      </c>
      <c r="I556" s="16" t="n">
        <v>0.203</v>
      </c>
      <c r="J556" s="13" t="inlineStr">
        <is>
          <t>Express Engine Bay Hose Thermal Crack Hazard</t>
        </is>
      </c>
      <c r="K556" s="14" t="inlineStr">
        <is>
          <t>Audit Run</t>
        </is>
      </c>
      <c r="L556" s="17">
        <f>IF(C556&gt;0, 99 + (C556 * 2.5), 0)</f>
        <v/>
      </c>
    </row>
    <row r="557">
      <c r="A557" s="8" t="inlineStr">
        <is>
          <t>Spring Valley Power Systems Group</t>
        </is>
      </c>
      <c r="B557" s="9" t="inlineStr">
        <is>
          <t>Electrical Services</t>
        </is>
      </c>
      <c r="C557" s="10" t="n">
        <v>143</v>
      </c>
      <c r="D557" s="8" t="inlineStr">
        <is>
          <t>Ram ProMaster 1500</t>
        </is>
      </c>
      <c r="E557" s="8" t="inlineStr">
        <is>
          <t>Steven Thomas</t>
        </is>
      </c>
      <c r="F557" s="8" t="inlineStr">
        <is>
          <t>steven@springvalleypowersystemsgroup.com</t>
        </is>
      </c>
      <c r="G557" s="8" t="inlineStr">
        <is>
          <t>702-555-3947</t>
        </is>
      </c>
      <c r="H557" s="9" t="inlineStr">
        <is>
          <t>DOT89876</t>
        </is>
      </c>
      <c r="I557" s="11" t="n">
        <v>0.112</v>
      </c>
      <c r="J557" s="8" t="inlineStr">
        <is>
          <t>ProMaster Brake Line Rubbing Collision Abrasion Leak</t>
        </is>
      </c>
      <c r="K557" s="9" t="inlineStr">
        <is>
          <t>Warm Prospect</t>
        </is>
      </c>
      <c r="L557" s="12">
        <f>IF(C557&gt;0, 99 + (C557 * 2.5), 0)</f>
        <v/>
      </c>
    </row>
    <row r="558">
      <c r="A558" s="13" t="inlineStr">
        <is>
          <t>Silver State Air Conditioning Inc</t>
        </is>
      </c>
      <c r="B558" s="14" t="inlineStr">
        <is>
          <t>HVAC/Plumbing</t>
        </is>
      </c>
      <c r="C558" s="15" t="n">
        <v>40</v>
      </c>
      <c r="D558" s="13" t="inlineStr">
        <is>
          <t>GMC Savana 2500</t>
        </is>
      </c>
      <c r="E558" s="13" t="inlineStr">
        <is>
          <t>Richard Martin</t>
        </is>
      </c>
      <c r="F558" s="13" t="inlineStr">
        <is>
          <t>richard@silverstateairconditioninginc.com</t>
        </is>
      </c>
      <c r="G558" s="13" t="inlineStr">
        <is>
          <t>702-555-7793</t>
        </is>
      </c>
      <c r="H558" s="14" t="inlineStr">
        <is>
          <t>DOT64269</t>
        </is>
      </c>
      <c r="I558" s="16" t="n">
        <v>0.054</v>
      </c>
      <c r="J558" s="13" t="inlineStr">
        <is>
          <t>Savana Desert Fuel Line Seal Degradation Failure</t>
        </is>
      </c>
      <c r="K558" s="14" t="inlineStr">
        <is>
          <t>Warm Prospect</t>
        </is>
      </c>
      <c r="L558" s="17">
        <f>IF(C558&gt;0, 99 + (C558 * 2.5), 0)</f>
        <v/>
      </c>
    </row>
    <row r="559">
      <c r="A559" s="8" t="inlineStr">
        <is>
          <t>Henderson Charter Buses Inc</t>
        </is>
      </c>
      <c r="B559" s="9" t="inlineStr">
        <is>
          <t>Boutique Transit</t>
        </is>
      </c>
      <c r="C559" s="10" t="n">
        <v>61</v>
      </c>
      <c r="D559" s="8" t="inlineStr">
        <is>
          <t>Mercedes-Benz Sprinter 2500</t>
        </is>
      </c>
      <c r="E559" s="8" t="inlineStr">
        <is>
          <t>Christopher Rodriguez</t>
        </is>
      </c>
      <c r="F559" s="8" t="inlineStr">
        <is>
          <t>christopher@hendersoncharterbusesinc.com</t>
        </is>
      </c>
      <c r="G559" s="8" t="inlineStr">
        <is>
          <t>702-555-2111</t>
        </is>
      </c>
      <c r="H559" s="9" t="inlineStr">
        <is>
          <t>DOT50340</t>
        </is>
      </c>
      <c r="I559" s="11" t="n">
        <v>0.133</v>
      </c>
      <c r="J559" s="8" t="inlineStr">
        <is>
          <t>Sprinter AC Comp Condensation Drain Backup Wiring Short</t>
        </is>
      </c>
      <c r="K559" s="9" t="inlineStr">
        <is>
          <t>Audit Run</t>
        </is>
      </c>
      <c r="L559" s="12">
        <f>IF(C559&gt;0, 99 + (C559 * 2.5), 0)</f>
        <v/>
      </c>
    </row>
    <row r="560">
      <c r="A560" s="13" t="inlineStr">
        <is>
          <t>Henderson Electric &amp; Solar Inc</t>
        </is>
      </c>
      <c r="B560" s="14" t="inlineStr">
        <is>
          <t>Electrical Services</t>
        </is>
      </c>
      <c r="C560" s="15" t="n">
        <v>97</v>
      </c>
      <c r="D560" s="13" t="inlineStr">
        <is>
          <t>Ram ProMaster 2500</t>
        </is>
      </c>
      <c r="E560" s="13" t="inlineStr">
        <is>
          <t>Anthony Jackson</t>
        </is>
      </c>
      <c r="F560" s="13" t="inlineStr">
        <is>
          <t>anthony@hendersonelectricsolarinc.com</t>
        </is>
      </c>
      <c r="G560" s="13" t="inlineStr">
        <is>
          <t>702-555-1477</t>
        </is>
      </c>
      <c r="H560" s="14" t="inlineStr">
        <is>
          <t>DOT33020</t>
        </is>
      </c>
      <c r="I560" s="16" t="n">
        <v>0.1</v>
      </c>
      <c r="J560" s="13" t="inlineStr">
        <is>
          <t>ProMaster Brake Line Rubbing Collision Abrasion Leak</t>
        </is>
      </c>
      <c r="K560" s="14" t="inlineStr">
        <is>
          <t>Warm Prospect</t>
        </is>
      </c>
      <c r="L560" s="17">
        <f>IF(C560&gt;0, 99 + (C560 * 2.5), 0)</f>
        <v/>
      </c>
    </row>
    <row r="561">
      <c r="A561" s="8" t="inlineStr">
        <is>
          <t>First Choice Tours &amp; Transit Inc</t>
        </is>
      </c>
      <c r="B561" s="9" t="inlineStr">
        <is>
          <t>Boutique Transit</t>
        </is>
      </c>
      <c r="C561" s="10" t="n">
        <v>44</v>
      </c>
      <c r="D561" s="8" t="inlineStr">
        <is>
          <t>Ford Transit 350</t>
        </is>
      </c>
      <c r="E561" s="8" t="inlineStr">
        <is>
          <t>Steven Jones</t>
        </is>
      </c>
      <c r="F561" s="8" t="inlineStr">
        <is>
          <t>steven@firstchoicetourstransitinc.com</t>
        </is>
      </c>
      <c r="G561" s="8" t="inlineStr">
        <is>
          <t>702-555-8546</t>
        </is>
      </c>
      <c r="H561" s="9" t="inlineStr">
        <is>
          <t>DOT80381</t>
        </is>
      </c>
      <c r="I561" s="11" t="n">
        <v>0.318</v>
      </c>
      <c r="J561" s="8" t="inlineStr">
        <is>
          <t>Transit 114°F Electrical Module Overheat Wire Ground Fire Risk</t>
        </is>
      </c>
      <c r="K561" s="9" t="inlineStr">
        <is>
          <t>Warm Prospect</t>
        </is>
      </c>
      <c r="L561" s="12">
        <f>IF(C561&gt;0, 99 + (C561 * 2.5), 0)</f>
        <v/>
      </c>
    </row>
    <row r="562">
      <c r="A562" s="13" t="inlineStr">
        <is>
          <t>Spring Valley Electric Pros Inc</t>
        </is>
      </c>
      <c r="B562" s="14" t="inlineStr">
        <is>
          <t>Electrical Services</t>
        </is>
      </c>
      <c r="C562" s="15" t="n">
        <v>90</v>
      </c>
      <c r="D562" s="13" t="inlineStr">
        <is>
          <t>Ram ProMaster 2500</t>
        </is>
      </c>
      <c r="E562" s="13" t="inlineStr">
        <is>
          <t>Andrew Moore</t>
        </is>
      </c>
      <c r="F562" s="13" t="inlineStr">
        <is>
          <t>andrew@springvalleyelectricprosinc.com</t>
        </is>
      </c>
      <c r="G562" s="13" t="inlineStr">
        <is>
          <t>702-555-1306</t>
        </is>
      </c>
      <c r="H562" s="14" t="inlineStr">
        <is>
          <t>DOT37297</t>
        </is>
      </c>
      <c r="I562" s="16" t="n">
        <v>0.219</v>
      </c>
      <c r="J562" s="13" t="inlineStr">
        <is>
          <t>ProMaster Brake Line Rubbing Collision Abrasion Leak</t>
        </is>
      </c>
      <c r="K562" s="14" t="inlineStr">
        <is>
          <t>Warm Prospect</t>
        </is>
      </c>
      <c r="L562" s="17">
        <f>IF(C562&gt;0, 99 + (C562 * 2.5), 0)</f>
        <v/>
      </c>
    </row>
    <row r="563">
      <c r="A563" s="8" t="inlineStr">
        <is>
          <t>Apex Power Systems LLC</t>
        </is>
      </c>
      <c r="B563" s="9" t="inlineStr">
        <is>
          <t>Electrical Services</t>
        </is>
      </c>
      <c r="C563" s="10" t="n">
        <v>96</v>
      </c>
      <c r="D563" s="8" t="inlineStr">
        <is>
          <t>Chevy Express 2500</t>
        </is>
      </c>
      <c r="E563" s="8" t="inlineStr">
        <is>
          <t>Anthony Moore</t>
        </is>
      </c>
      <c r="F563" s="8" t="inlineStr">
        <is>
          <t>anthony@apexpowersystemsllc.com</t>
        </is>
      </c>
      <c r="G563" s="8" t="inlineStr">
        <is>
          <t>702-555-3719</t>
        </is>
      </c>
      <c r="H563" s="9" t="inlineStr">
        <is>
          <t>DOT84839</t>
        </is>
      </c>
      <c r="I563" s="11" t="n">
        <v>0.228</v>
      </c>
      <c r="J563" s="8" t="inlineStr">
        <is>
          <t>Express Engine Bay Hose Thermal Crack Hazard</t>
        </is>
      </c>
      <c r="K563" s="9" t="inlineStr">
        <is>
          <t>Warm Prospect</t>
        </is>
      </c>
      <c r="L563" s="12">
        <f>IF(C563&gt;0, 99 + (C563 * 2.5), 0)</f>
        <v/>
      </c>
    </row>
    <row r="564">
      <c r="A564" s="13" t="inlineStr">
        <is>
          <t>Apex Chauffeurs Group</t>
        </is>
      </c>
      <c r="B564" s="14" t="inlineStr">
        <is>
          <t>Boutique Transit</t>
        </is>
      </c>
      <c r="C564" s="15" t="n">
        <v>18</v>
      </c>
      <c r="D564" s="13" t="inlineStr">
        <is>
          <t>Mercedes-Benz Sprinter 3500</t>
        </is>
      </c>
      <c r="E564" s="13" t="inlineStr">
        <is>
          <t>Charles Wilson</t>
        </is>
      </c>
      <c r="F564" s="13" t="inlineStr">
        <is>
          <t>charles@apexchauffeursgroup.com</t>
        </is>
      </c>
      <c r="G564" s="13" t="inlineStr">
        <is>
          <t>702-555-2422</t>
        </is>
      </c>
      <c r="H564" s="14" t="inlineStr">
        <is>
          <t>DOT75149</t>
        </is>
      </c>
      <c r="I564" s="16" t="n">
        <v>0.312</v>
      </c>
      <c r="J564" s="13" t="inlineStr">
        <is>
          <t>Sprinter AC Comp Condensation Drain Backup Wiring Short</t>
        </is>
      </c>
      <c r="K564" s="14" t="inlineStr">
        <is>
          <t>Warm Prospect</t>
        </is>
      </c>
      <c r="L564" s="17">
        <f>IF(C564&gt;0, 99 + (C564 * 2.5), 0)</f>
        <v/>
      </c>
    </row>
    <row r="565">
      <c r="A565" s="8" t="inlineStr">
        <is>
          <t>Summerlin Electrical Contractors Inc</t>
        </is>
      </c>
      <c r="B565" s="9" t="inlineStr">
        <is>
          <t>Electrical Services</t>
        </is>
      </c>
      <c r="C565" s="10" t="n">
        <v>54</v>
      </c>
      <c r="D565" s="8" t="inlineStr">
        <is>
          <t>Ram ProMaster 2500</t>
        </is>
      </c>
      <c r="E565" s="8" t="inlineStr">
        <is>
          <t>Robert Lopez</t>
        </is>
      </c>
      <c r="F565" s="8" t="inlineStr">
        <is>
          <t>robert@summerlinelectricalcontractorsinc.com</t>
        </is>
      </c>
      <c r="G565" s="8" t="inlineStr">
        <is>
          <t>702-555-1612</t>
        </is>
      </c>
      <c r="H565" s="9" t="inlineStr">
        <is>
          <t>DOT36489</t>
        </is>
      </c>
      <c r="I565" s="11" t="n">
        <v>0.323</v>
      </c>
      <c r="J565" s="8" t="inlineStr">
        <is>
          <t>ProMaster Brake Line Rubbing Collision Abrasion Leak</t>
        </is>
      </c>
      <c r="K565" s="9" t="inlineStr">
        <is>
          <t>Warm Prospect</t>
        </is>
      </c>
      <c r="L565" s="12">
        <f>IF(C565&gt;0, 99 + (C565 * 2.5), 0)</f>
        <v/>
      </c>
    </row>
    <row r="566">
      <c r="A566" s="13" t="inlineStr">
        <is>
          <t>Silver State Tours &amp; Transit Group</t>
        </is>
      </c>
      <c r="B566" s="14" t="inlineStr">
        <is>
          <t>Boutique Transit</t>
        </is>
      </c>
      <c r="C566" s="15" t="n">
        <v>58</v>
      </c>
      <c r="D566" s="13" t="inlineStr">
        <is>
          <t>Mercedes-Benz Sprinter 2500</t>
        </is>
      </c>
      <c r="E566" s="13" t="inlineStr">
        <is>
          <t>Daniel Thomas</t>
        </is>
      </c>
      <c r="F566" s="13" t="inlineStr">
        <is>
          <t>daniel@silverstatetourstransitgroup.com</t>
        </is>
      </c>
      <c r="G566" s="13" t="inlineStr">
        <is>
          <t>702-555-9579</t>
        </is>
      </c>
      <c r="H566" s="14" t="inlineStr">
        <is>
          <t>DOT50679</t>
        </is>
      </c>
      <c r="I566" s="16" t="n">
        <v>0.28</v>
      </c>
      <c r="J566" s="13" t="inlineStr">
        <is>
          <t>Sprinter AC Comp Condensation Drain Backup Wiring Short</t>
        </is>
      </c>
      <c r="K566" s="14" t="inlineStr">
        <is>
          <t>Warm Prospect</t>
        </is>
      </c>
      <c r="L566" s="17">
        <f>IF(C566&gt;0, 99 + (C566 * 2.5), 0)</f>
        <v/>
      </c>
    </row>
    <row r="567">
      <c r="A567" s="8" t="inlineStr">
        <is>
          <t>Summerlin Plumbing Experts Group</t>
        </is>
      </c>
      <c r="B567" s="9" t="inlineStr">
        <is>
          <t>HVAC/Plumbing</t>
        </is>
      </c>
      <c r="C567" s="10" t="n">
        <v>62</v>
      </c>
      <c r="D567" s="8" t="inlineStr">
        <is>
          <t>Ford Transit 350</t>
        </is>
      </c>
      <c r="E567" s="8" t="inlineStr">
        <is>
          <t>Michael Anderson</t>
        </is>
      </c>
      <c r="F567" s="8" t="inlineStr">
        <is>
          <t>michael@summerlinplumbingexpertsgroup.com</t>
        </is>
      </c>
      <c r="G567" s="8" t="inlineStr">
        <is>
          <t>702-555-7350</t>
        </is>
      </c>
      <c r="H567" s="9" t="inlineStr">
        <is>
          <t>DOT78464</t>
        </is>
      </c>
      <c r="I567" s="11" t="n">
        <v>0.076</v>
      </c>
      <c r="J567" s="8" t="inlineStr">
        <is>
          <t>Transit 114°F Electrical Module Overheat Wire Ground Fire Risk</t>
        </is>
      </c>
      <c r="K567" s="9" t="inlineStr">
        <is>
          <t>Warm Prospect</t>
        </is>
      </c>
      <c r="L567" s="12">
        <f>IF(C567&gt;0, 99 + (C567 * 2.5), 0)</f>
        <v/>
      </c>
    </row>
    <row r="568">
      <c r="A568" s="13" t="inlineStr">
        <is>
          <t>Vegas Valley Plumbing Experts Inc</t>
        </is>
      </c>
      <c r="B568" s="14" t="inlineStr">
        <is>
          <t>HVAC/Plumbing</t>
        </is>
      </c>
      <c r="C568" s="15" t="n">
        <v>129</v>
      </c>
      <c r="D568" s="13" t="inlineStr">
        <is>
          <t>Ford Transit 150</t>
        </is>
      </c>
      <c r="E568" s="13" t="inlineStr">
        <is>
          <t>Michael Brown</t>
        </is>
      </c>
      <c r="F568" s="13" t="inlineStr">
        <is>
          <t>michael@vegasvalleyplumbingexpertsinc.com</t>
        </is>
      </c>
      <c r="G568" s="13" t="inlineStr">
        <is>
          <t>702-555-9529</t>
        </is>
      </c>
      <c r="H568" s="14" t="inlineStr">
        <is>
          <t>DOT96374</t>
        </is>
      </c>
      <c r="I568" s="16" t="n">
        <v>0.271</v>
      </c>
      <c r="J568" s="13" t="inlineStr">
        <is>
          <t>Transit 114°F Electrical Module Overheat Wire Ground Fire Risk</t>
        </is>
      </c>
      <c r="K568" s="14" t="inlineStr">
        <is>
          <t>Warm Prospect</t>
        </is>
      </c>
      <c r="L568" s="17">
        <f>IF(C568&gt;0, 99 + (C568 * 2.5), 0)</f>
        <v/>
      </c>
    </row>
    <row r="569">
      <c r="A569" s="8" t="inlineStr">
        <is>
          <t>Henderson Chauffeurs Group</t>
        </is>
      </c>
      <c r="B569" s="9" t="inlineStr">
        <is>
          <t>Boutique Transit</t>
        </is>
      </c>
      <c r="C569" s="10" t="n">
        <v>92</v>
      </c>
      <c r="D569" s="8" t="inlineStr">
        <is>
          <t>Mercedes-Benz Sprinter 2500</t>
        </is>
      </c>
      <c r="E569" s="8" t="inlineStr">
        <is>
          <t>Richard Miller</t>
        </is>
      </c>
      <c r="F569" s="8" t="inlineStr">
        <is>
          <t>richard@hendersonchauffeursgroup.com</t>
        </is>
      </c>
      <c r="G569" s="8" t="inlineStr">
        <is>
          <t>702-555-5695</t>
        </is>
      </c>
      <c r="H569" s="9" t="inlineStr">
        <is>
          <t>DOT46261</t>
        </is>
      </c>
      <c r="I569" s="11" t="n">
        <v>0.205</v>
      </c>
      <c r="J569" s="8" t="inlineStr">
        <is>
          <t>Sprinter AC Comp Condensation Drain Backup Wiring Short</t>
        </is>
      </c>
      <c r="K569" s="9" t="inlineStr">
        <is>
          <t>Warm Prospect</t>
        </is>
      </c>
      <c r="L569" s="12">
        <f>IF(C569&gt;0, 99 + (C569 * 2.5), 0)</f>
        <v/>
      </c>
    </row>
    <row r="570">
      <c r="A570" s="13" t="inlineStr">
        <is>
          <t>Apex Chauffeurs Inc</t>
        </is>
      </c>
      <c r="B570" s="14" t="inlineStr">
        <is>
          <t>Boutique Transit</t>
        </is>
      </c>
      <c r="C570" s="15" t="n">
        <v>80</v>
      </c>
      <c r="D570" s="13" t="inlineStr">
        <is>
          <t>Mercedes-Benz Sprinter 2500</t>
        </is>
      </c>
      <c r="E570" s="13" t="inlineStr">
        <is>
          <t>Robert Smith</t>
        </is>
      </c>
      <c r="F570" s="13" t="inlineStr">
        <is>
          <t>robert@apexchauffeursinc.com</t>
        </is>
      </c>
      <c r="G570" s="13" t="inlineStr">
        <is>
          <t>702-555-9422</t>
        </is>
      </c>
      <c r="H570" s="14" t="inlineStr">
        <is>
          <t>DOT23418</t>
        </is>
      </c>
      <c r="I570" s="16" t="n">
        <v>0.104</v>
      </c>
      <c r="J570" s="13" t="inlineStr">
        <is>
          <t>Sprinter AC Comp Condensation Drain Backup Wiring Short</t>
        </is>
      </c>
      <c r="K570" s="14" t="inlineStr">
        <is>
          <t>Warm Prospect</t>
        </is>
      </c>
      <c r="L570" s="17">
        <f>IF(C570&gt;0, 99 + (C570 * 2.5), 0)</f>
        <v/>
      </c>
    </row>
    <row r="571">
      <c r="A571" s="8" t="inlineStr">
        <is>
          <t>Valley Chauffeurs Inc</t>
        </is>
      </c>
      <c r="B571" s="9" t="inlineStr">
        <is>
          <t>Boutique Transit</t>
        </is>
      </c>
      <c r="C571" s="10" t="n">
        <v>82</v>
      </c>
      <c r="D571" s="8" t="inlineStr">
        <is>
          <t>Ford Transit 350</t>
        </is>
      </c>
      <c r="E571" s="8" t="inlineStr">
        <is>
          <t>Joshua Davis</t>
        </is>
      </c>
      <c r="F571" s="8" t="inlineStr">
        <is>
          <t>joshua@valleychauffeursinc.com</t>
        </is>
      </c>
      <c r="G571" s="8" t="inlineStr">
        <is>
          <t>702-555-3806</t>
        </is>
      </c>
      <c r="H571" s="9" t="inlineStr">
        <is>
          <t>DOT19337</t>
        </is>
      </c>
      <c r="I571" s="11" t="n">
        <v>0.137</v>
      </c>
      <c r="J571" s="8" t="inlineStr">
        <is>
          <t>Transit 114°F Electrical Module Overheat Wire Ground Fire Risk</t>
        </is>
      </c>
      <c r="K571" s="9" t="inlineStr">
        <is>
          <t>Warm Prospect</t>
        </is>
      </c>
      <c r="L571" s="12">
        <f>IF(C571&gt;0, 99 + (C571 * 2.5), 0)</f>
        <v/>
      </c>
    </row>
    <row r="572">
      <c r="A572" s="13" t="inlineStr">
        <is>
          <t>First Choice Shuttles Inc</t>
        </is>
      </c>
      <c r="B572" s="14" t="inlineStr">
        <is>
          <t>Boutique Transit</t>
        </is>
      </c>
      <c r="C572" s="15" t="n">
        <v>130</v>
      </c>
      <c r="D572" s="13" t="inlineStr">
        <is>
          <t>Mercedes-Benz Sprinter 2500</t>
        </is>
      </c>
      <c r="E572" s="13" t="inlineStr">
        <is>
          <t>Michael Brown</t>
        </is>
      </c>
      <c r="F572" s="13" t="inlineStr">
        <is>
          <t>michael@firstchoiceshuttlesinc.com</t>
        </is>
      </c>
      <c r="G572" s="13" t="inlineStr">
        <is>
          <t>702-555-7284</t>
        </is>
      </c>
      <c r="H572" s="14" t="inlineStr">
        <is>
          <t>DOT17051</t>
        </is>
      </c>
      <c r="I572" s="16" t="n">
        <v>0.067</v>
      </c>
      <c r="J572" s="13" t="inlineStr">
        <is>
          <t>Sprinter AC Comp Condensation Drain Backup Wiring Short</t>
        </is>
      </c>
      <c r="K572" s="14" t="inlineStr">
        <is>
          <t>Warm Prospect</t>
        </is>
      </c>
      <c r="L572" s="17">
        <f>IF(C572&gt;0, 99 + (C572 * 2.5), 0)</f>
        <v/>
      </c>
    </row>
    <row r="573">
      <c r="A573" s="8" t="inlineStr">
        <is>
          <t>Clark County Plumbing Experts Group</t>
        </is>
      </c>
      <c r="B573" s="9" t="inlineStr">
        <is>
          <t>HVAC/Plumbing</t>
        </is>
      </c>
      <c r="C573" s="10" t="n">
        <v>101</v>
      </c>
      <c r="D573" s="8" t="inlineStr">
        <is>
          <t>GMC Savana 2500</t>
        </is>
      </c>
      <c r="E573" s="8" t="inlineStr">
        <is>
          <t>Christopher Hernandez</t>
        </is>
      </c>
      <c r="F573" s="8" t="inlineStr">
        <is>
          <t>christopher@clarkcountyplumbingexpertsgroup.com</t>
        </is>
      </c>
      <c r="G573" s="8" t="inlineStr">
        <is>
          <t>702-555-4246</t>
        </is>
      </c>
      <c r="H573" s="9" t="inlineStr">
        <is>
          <t>DOT97932</t>
        </is>
      </c>
      <c r="I573" s="11" t="n">
        <v>0.291</v>
      </c>
      <c r="J573" s="8" t="inlineStr">
        <is>
          <t>Savana Desert Fuel Line Seal Degradation Failure</t>
        </is>
      </c>
      <c r="K573" s="9" t="inlineStr">
        <is>
          <t>Warm Prospect</t>
        </is>
      </c>
      <c r="L573" s="12">
        <f>IF(C573&gt;0, 99 + (C573 * 2.5), 0)</f>
        <v/>
      </c>
    </row>
    <row r="574">
      <c r="A574" s="13" t="inlineStr">
        <is>
          <t>Las Vegas Power Systems Inc</t>
        </is>
      </c>
      <c r="B574" s="14" t="inlineStr">
        <is>
          <t>Electrical Services</t>
        </is>
      </c>
      <c r="C574" s="15" t="n">
        <v>34</v>
      </c>
      <c r="D574" s="13" t="inlineStr">
        <is>
          <t>Ram ProMaster 1500</t>
        </is>
      </c>
      <c r="E574" s="13" t="inlineStr">
        <is>
          <t>Donald Martinez</t>
        </is>
      </c>
      <c r="F574" s="13" t="inlineStr">
        <is>
          <t>donald@lasvegaspowersystemsinc.com</t>
        </is>
      </c>
      <c r="G574" s="13" t="inlineStr">
        <is>
          <t>702-555-8625</t>
        </is>
      </c>
      <c r="H574" s="14" t="inlineStr">
        <is>
          <t>DOT71675</t>
        </is>
      </c>
      <c r="I574" s="16" t="n">
        <v>0.112</v>
      </c>
      <c r="J574" s="13" t="inlineStr">
        <is>
          <t>ProMaster Brake Line Rubbing Collision Abrasion Leak</t>
        </is>
      </c>
      <c r="K574" s="14" t="inlineStr">
        <is>
          <t>Warm Prospect</t>
        </is>
      </c>
      <c r="L574" s="17">
        <f>IF(C574&gt;0, 99 + (C574 * 2.5), 0)</f>
        <v/>
      </c>
    </row>
    <row r="575">
      <c r="A575" s="8" t="inlineStr">
        <is>
          <t>Summerlin Plumbing Experts LLC</t>
        </is>
      </c>
      <c r="B575" s="9" t="inlineStr">
        <is>
          <t>HVAC/Plumbing</t>
        </is>
      </c>
      <c r="C575" s="10" t="n">
        <v>110</v>
      </c>
      <c r="D575" s="8" t="inlineStr">
        <is>
          <t>Ford Transit 150</t>
        </is>
      </c>
      <c r="E575" s="8" t="inlineStr">
        <is>
          <t>William Hernandez</t>
        </is>
      </c>
      <c r="F575" s="8" t="inlineStr">
        <is>
          <t>william@summerlinplumbingexpertsllc.com</t>
        </is>
      </c>
      <c r="G575" s="8" t="inlineStr">
        <is>
          <t>702-555-6320</t>
        </is>
      </c>
      <c r="H575" s="9" t="inlineStr">
        <is>
          <t>DOT69412</t>
        </is>
      </c>
      <c r="I575" s="11" t="n">
        <v>0.191</v>
      </c>
      <c r="J575" s="8" t="inlineStr">
        <is>
          <t>Transit 114°F Electrical Module Overheat Wire Ground Fire Risk</t>
        </is>
      </c>
      <c r="K575" s="9" t="inlineStr">
        <is>
          <t>Warm Prospect</t>
        </is>
      </c>
      <c r="L575" s="12">
        <f>IF(C575&gt;0, 99 + (C575 * 2.5), 0)</f>
        <v/>
      </c>
    </row>
    <row r="576">
      <c r="A576" s="13" t="inlineStr">
        <is>
          <t>Apex Electrical Contractors LLC</t>
        </is>
      </c>
      <c r="B576" s="14" t="inlineStr">
        <is>
          <t>Electrical Services</t>
        </is>
      </c>
      <c r="C576" s="15" t="n">
        <v>53</v>
      </c>
      <c r="D576" s="13" t="inlineStr">
        <is>
          <t>Ram ProMaster 1500</t>
        </is>
      </c>
      <c r="E576" s="13" t="inlineStr">
        <is>
          <t>Christopher Lopez</t>
        </is>
      </c>
      <c r="F576" s="13" t="inlineStr">
        <is>
          <t>christopher@apexelectricalcontractorsllc.com</t>
        </is>
      </c>
      <c r="G576" s="13" t="inlineStr">
        <is>
          <t>702-555-3087</t>
        </is>
      </c>
      <c r="H576" s="14" t="inlineStr">
        <is>
          <t>DOT76577</t>
        </is>
      </c>
      <c r="I576" s="16" t="n">
        <v>0.07199999999999999</v>
      </c>
      <c r="J576" s="13" t="inlineStr">
        <is>
          <t>ProMaster Brake Line Rubbing Collision Abrasion Leak</t>
        </is>
      </c>
      <c r="K576" s="14" t="inlineStr">
        <is>
          <t>Warm Prospect</t>
        </is>
      </c>
      <c r="L576" s="17">
        <f>IF(C576&gt;0, 99 + (C576 * 2.5), 0)</f>
        <v/>
      </c>
    </row>
    <row r="577">
      <c r="A577" s="8" t="inlineStr">
        <is>
          <t>High Rise Electric Pros Inc</t>
        </is>
      </c>
      <c r="B577" s="9" t="inlineStr">
        <is>
          <t>Electrical Services</t>
        </is>
      </c>
      <c r="C577" s="10" t="n">
        <v>146</v>
      </c>
      <c r="D577" s="8" t="inlineStr">
        <is>
          <t>Ram ProMaster 2500</t>
        </is>
      </c>
      <c r="E577" s="8" t="inlineStr">
        <is>
          <t>Donald Gonzalez</t>
        </is>
      </c>
      <c r="F577" s="8" t="inlineStr">
        <is>
          <t>donald@highriseelectricprosinc.com</t>
        </is>
      </c>
      <c r="G577" s="8" t="inlineStr">
        <is>
          <t>702-555-7773</t>
        </is>
      </c>
      <c r="H577" s="9" t="inlineStr">
        <is>
          <t>DOT41270</t>
        </is>
      </c>
      <c r="I577" s="11" t="n">
        <v>0.232</v>
      </c>
      <c r="J577" s="8" t="inlineStr">
        <is>
          <t>ProMaster Brake Line Rubbing Collision Abrasion Leak</t>
        </is>
      </c>
      <c r="K577" s="9" t="inlineStr">
        <is>
          <t>Audit Run</t>
        </is>
      </c>
      <c r="L577" s="12">
        <f>IF(C577&gt;0, 99 + (C577 * 2.5), 0)</f>
        <v/>
      </c>
    </row>
    <row r="578">
      <c r="A578" s="13" t="inlineStr">
        <is>
          <t>First Choice Comfort Heating Inc</t>
        </is>
      </c>
      <c r="B578" s="14" t="inlineStr">
        <is>
          <t>HVAC/Plumbing</t>
        </is>
      </c>
      <c r="C578" s="15" t="n">
        <v>63</v>
      </c>
      <c r="D578" s="13" t="inlineStr">
        <is>
          <t>Ford Transit 150</t>
        </is>
      </c>
      <c r="E578" s="13" t="inlineStr">
        <is>
          <t>Joshua Wilson</t>
        </is>
      </c>
      <c r="F578" s="13" t="inlineStr">
        <is>
          <t>joshua@firstchoicecomfortheatinginc.com</t>
        </is>
      </c>
      <c r="G578" s="13" t="inlineStr">
        <is>
          <t>702-555-8132</t>
        </is>
      </c>
      <c r="H578" s="14" t="inlineStr">
        <is>
          <t>DOT84345</t>
        </is>
      </c>
      <c r="I578" s="16" t="n">
        <v>0.284</v>
      </c>
      <c r="J578" s="13" t="inlineStr">
        <is>
          <t>Transit 114°F Electrical Module Overheat Wire Ground Fire Risk</t>
        </is>
      </c>
      <c r="K578" s="14" t="inlineStr">
        <is>
          <t>Audit Run</t>
        </is>
      </c>
      <c r="L578" s="17">
        <f>IF(C578&gt;0, 99 + (C578 * 2.5), 0)</f>
        <v/>
      </c>
    </row>
    <row r="579">
      <c r="A579" s="8" t="inlineStr">
        <is>
          <t>Sunset Airport Express Group</t>
        </is>
      </c>
      <c r="B579" s="9" t="inlineStr">
        <is>
          <t>Boutique Transit</t>
        </is>
      </c>
      <c r="C579" s="10" t="n">
        <v>29</v>
      </c>
      <c r="D579" s="8" t="inlineStr">
        <is>
          <t>Ford Transit 350</t>
        </is>
      </c>
      <c r="E579" s="8" t="inlineStr">
        <is>
          <t>Joshua Thomas</t>
        </is>
      </c>
      <c r="F579" s="8" t="inlineStr">
        <is>
          <t>joshua@sunsetairportexpressgroup.com</t>
        </is>
      </c>
      <c r="G579" s="8" t="inlineStr">
        <is>
          <t>702-555-2873</t>
        </is>
      </c>
      <c r="H579" s="9" t="inlineStr">
        <is>
          <t>DOT87616</t>
        </is>
      </c>
      <c r="I579" s="11" t="n">
        <v>0.225</v>
      </c>
      <c r="J579" s="8" t="inlineStr">
        <is>
          <t>Transit 114°F Electrical Module Overheat Wire Ground Fire Risk</t>
        </is>
      </c>
      <c r="K579" s="9" t="inlineStr">
        <is>
          <t>Warm Prospect</t>
        </is>
      </c>
      <c r="L579" s="12">
        <f>IF(C579&gt;0, 99 + (C579 * 2.5), 0)</f>
        <v/>
      </c>
    </row>
    <row r="580">
      <c r="A580" s="13" t="inlineStr">
        <is>
          <t>Apex Tours &amp; Transit Inc</t>
        </is>
      </c>
      <c r="B580" s="14" t="inlineStr">
        <is>
          <t>Boutique Transit</t>
        </is>
      </c>
      <c r="C580" s="15" t="n">
        <v>113</v>
      </c>
      <c r="D580" s="13" t="inlineStr">
        <is>
          <t>Mercedes-Benz Sprinter 3500</t>
        </is>
      </c>
      <c r="E580" s="13" t="inlineStr">
        <is>
          <t>James Martin</t>
        </is>
      </c>
      <c r="F580" s="13" t="inlineStr">
        <is>
          <t>james@apextourstransitinc.com</t>
        </is>
      </c>
      <c r="G580" s="13" t="inlineStr">
        <is>
          <t>702-555-2781</t>
        </is>
      </c>
      <c r="H580" s="14" t="inlineStr">
        <is>
          <t>DOT99850</t>
        </is>
      </c>
      <c r="I580" s="16" t="n">
        <v>0.292</v>
      </c>
      <c r="J580" s="13" t="inlineStr">
        <is>
          <t>Sprinter AC Comp Condensation Drain Backup Wiring Short</t>
        </is>
      </c>
      <c r="K580" s="14" t="inlineStr">
        <is>
          <t>Warm Prospect</t>
        </is>
      </c>
      <c r="L580" s="17">
        <f>IF(C580&gt;0, 99 + (C580 * 2.5), 0)</f>
        <v/>
      </c>
    </row>
    <row r="581">
      <c r="A581" s="8" t="inlineStr">
        <is>
          <t>First Choice Electric Pros Group</t>
        </is>
      </c>
      <c r="B581" s="9" t="inlineStr">
        <is>
          <t>Electrical Services</t>
        </is>
      </c>
      <c r="C581" s="10" t="n">
        <v>33</v>
      </c>
      <c r="D581" s="8" t="inlineStr">
        <is>
          <t>Chevy Express 2500</t>
        </is>
      </c>
      <c r="E581" s="8" t="inlineStr">
        <is>
          <t>Richard Jones</t>
        </is>
      </c>
      <c r="F581" s="8" t="inlineStr">
        <is>
          <t>richard@firstchoiceelectricprosgroup.com</t>
        </is>
      </c>
      <c r="G581" s="8" t="inlineStr">
        <is>
          <t>702-555-1003</t>
        </is>
      </c>
      <c r="H581" s="9" t="inlineStr">
        <is>
          <t>DOT29231</t>
        </is>
      </c>
      <c r="I581" s="11" t="n">
        <v>0.245</v>
      </c>
      <c r="J581" s="8" t="inlineStr">
        <is>
          <t>Express Engine Bay Hose Thermal Crack Hazard</t>
        </is>
      </c>
      <c r="K581" s="9" t="inlineStr">
        <is>
          <t>Warm Prospect</t>
        </is>
      </c>
      <c r="L581" s="12">
        <f>IF(C581&gt;0, 99 + (C581 * 2.5), 0)</f>
        <v/>
      </c>
    </row>
    <row r="582">
      <c r="A582" s="13" t="inlineStr">
        <is>
          <t>Mojave Tours &amp; Transit Group</t>
        </is>
      </c>
      <c r="B582" s="14" t="inlineStr">
        <is>
          <t>Boutique Transit</t>
        </is>
      </c>
      <c r="C582" s="15" t="n">
        <v>124</v>
      </c>
      <c r="D582" s="13" t="inlineStr">
        <is>
          <t>Ford Transit 350</t>
        </is>
      </c>
      <c r="E582" s="13" t="inlineStr">
        <is>
          <t>Richard Miller</t>
        </is>
      </c>
      <c r="F582" s="13" t="inlineStr">
        <is>
          <t>richard@mojavetourstransitgroup.com</t>
        </is>
      </c>
      <c r="G582" s="13" t="inlineStr">
        <is>
          <t>702-555-6187</t>
        </is>
      </c>
      <c r="H582" s="14" t="inlineStr">
        <is>
          <t>DOT49286</t>
        </is>
      </c>
      <c r="I582" s="16" t="n">
        <v>0.217</v>
      </c>
      <c r="J582" s="13" t="inlineStr">
        <is>
          <t>Transit 114°F Electrical Module Overheat Wire Ground Fire Risk</t>
        </is>
      </c>
      <c r="K582" s="14" t="inlineStr">
        <is>
          <t>Warm Prospect</t>
        </is>
      </c>
      <c r="L582" s="17">
        <f>IF(C582&gt;0, 99 + (C582 * 2.5), 0)</f>
        <v/>
      </c>
    </row>
    <row r="583">
      <c r="A583" s="8" t="inlineStr">
        <is>
          <t>Clark County Electrical Contractors Inc</t>
        </is>
      </c>
      <c r="B583" s="9" t="inlineStr">
        <is>
          <t>Electrical Services</t>
        </is>
      </c>
      <c r="C583" s="10" t="n">
        <v>140</v>
      </c>
      <c r="D583" s="8" t="inlineStr">
        <is>
          <t>Chevy Express 2500</t>
        </is>
      </c>
      <c r="E583" s="8" t="inlineStr">
        <is>
          <t>Anthony Jones</t>
        </is>
      </c>
      <c r="F583" s="8" t="inlineStr">
        <is>
          <t>anthony@clarkcountyelectricalcontractorsinc.com</t>
        </is>
      </c>
      <c r="G583" s="8" t="inlineStr">
        <is>
          <t>702-555-5819</t>
        </is>
      </c>
      <c r="H583" s="9" t="inlineStr">
        <is>
          <t>DOT18180</t>
        </is>
      </c>
      <c r="I583" s="11" t="n">
        <v>0.154</v>
      </c>
      <c r="J583" s="8" t="inlineStr">
        <is>
          <t>Express Engine Bay Hose Thermal Crack Hazard</t>
        </is>
      </c>
      <c r="K583" s="9" t="inlineStr">
        <is>
          <t>Audit Run</t>
        </is>
      </c>
      <c r="L583" s="12">
        <f>IF(C583&gt;0, 99 + (C583 * 2.5), 0)</f>
        <v/>
      </c>
    </row>
    <row r="584">
      <c r="A584" s="13" t="inlineStr">
        <is>
          <t>Silver State Mechanical Services Group</t>
        </is>
      </c>
      <c r="B584" s="14" t="inlineStr">
        <is>
          <t>HVAC/Plumbing</t>
        </is>
      </c>
      <c r="C584" s="15" t="n">
        <v>38</v>
      </c>
      <c r="D584" s="13" t="inlineStr">
        <is>
          <t>Ford Transit 150</t>
        </is>
      </c>
      <c r="E584" s="13" t="inlineStr">
        <is>
          <t>Christopher Smith</t>
        </is>
      </c>
      <c r="F584" s="13" t="inlineStr">
        <is>
          <t>christopher@silverstatemechanicalservicesgroup.com</t>
        </is>
      </c>
      <c r="G584" s="13" t="inlineStr">
        <is>
          <t>702-555-4854</t>
        </is>
      </c>
      <c r="H584" s="14" t="inlineStr">
        <is>
          <t>DOT66585</t>
        </is>
      </c>
      <c r="I584" s="16" t="n">
        <v>0.258</v>
      </c>
      <c r="J584" s="13" t="inlineStr">
        <is>
          <t>Transit 114°F Electrical Module Overheat Wire Ground Fire Risk</t>
        </is>
      </c>
      <c r="K584" s="14" t="inlineStr">
        <is>
          <t>Warm Prospect</t>
        </is>
      </c>
      <c r="L584" s="17">
        <f>IF(C584&gt;0, 99 + (C584 * 2.5), 0)</f>
        <v/>
      </c>
    </row>
    <row r="585">
      <c r="A585" s="8" t="inlineStr">
        <is>
          <t>Valley Charter Buses LLC</t>
        </is>
      </c>
      <c r="B585" s="9" t="inlineStr">
        <is>
          <t>Boutique Transit</t>
        </is>
      </c>
      <c r="C585" s="10" t="n">
        <v>107</v>
      </c>
      <c r="D585" s="8" t="inlineStr">
        <is>
          <t>Mercedes-Benz Sprinter 3500</t>
        </is>
      </c>
      <c r="E585" s="8" t="inlineStr">
        <is>
          <t>Mark Moore</t>
        </is>
      </c>
      <c r="F585" s="8" t="inlineStr">
        <is>
          <t>mark@valleycharterbusesllc.com</t>
        </is>
      </c>
      <c r="G585" s="8" t="inlineStr">
        <is>
          <t>702-555-4460</t>
        </is>
      </c>
      <c r="H585" s="9" t="inlineStr">
        <is>
          <t>DOT96833</t>
        </is>
      </c>
      <c r="I585" s="11" t="n">
        <v>0.094</v>
      </c>
      <c r="J585" s="8" t="inlineStr">
        <is>
          <t>Sprinter AC Comp Condensation Drain Backup Wiring Short</t>
        </is>
      </c>
      <c r="K585" s="9" t="inlineStr">
        <is>
          <t>Warm Prospect</t>
        </is>
      </c>
      <c r="L585" s="12">
        <f>IF(C585&gt;0, 99 + (C585 * 2.5), 0)</f>
        <v/>
      </c>
    </row>
    <row r="586">
      <c r="A586" s="13" t="inlineStr">
        <is>
          <t>High Rise Comfort Heating LLC</t>
        </is>
      </c>
      <c r="B586" s="14" t="inlineStr">
        <is>
          <t>HVAC/Plumbing</t>
        </is>
      </c>
      <c r="C586" s="15" t="n">
        <v>49</v>
      </c>
      <c r="D586" s="13" t="inlineStr">
        <is>
          <t>GMC Savana 2500</t>
        </is>
      </c>
      <c r="E586" s="13" t="inlineStr">
        <is>
          <t>Christopher Jones</t>
        </is>
      </c>
      <c r="F586" s="13" t="inlineStr">
        <is>
          <t>christopher@highrisecomfortheatingllc.com</t>
        </is>
      </c>
      <c r="G586" s="13" t="inlineStr">
        <is>
          <t>702-555-3200</t>
        </is>
      </c>
      <c r="H586" s="14" t="inlineStr">
        <is>
          <t>DOT11520</t>
        </is>
      </c>
      <c r="I586" s="16" t="n">
        <v>0.062</v>
      </c>
      <c r="J586" s="13" t="inlineStr">
        <is>
          <t>Savana Desert Fuel Line Seal Degradation Failure</t>
        </is>
      </c>
      <c r="K586" s="14" t="inlineStr">
        <is>
          <t>Warm Prospect</t>
        </is>
      </c>
      <c r="L586" s="17">
        <f>IF(C586&gt;0, 99 + (C586 * 2.5), 0)</f>
        <v/>
      </c>
    </row>
    <row r="587">
      <c r="A587" s="8" t="inlineStr">
        <is>
          <t>Clark County Comfort Heating Group</t>
        </is>
      </c>
      <c r="B587" s="9" t="inlineStr">
        <is>
          <t>HVAC/Plumbing</t>
        </is>
      </c>
      <c r="C587" s="10" t="n">
        <v>44</v>
      </c>
      <c r="D587" s="8" t="inlineStr">
        <is>
          <t>GMC Savana 2500</t>
        </is>
      </c>
      <c r="E587" s="8" t="inlineStr">
        <is>
          <t>James Jones</t>
        </is>
      </c>
      <c r="F587" s="8" t="inlineStr">
        <is>
          <t>james@clarkcountycomfortheatinggroup.com</t>
        </is>
      </c>
      <c r="G587" s="8" t="inlineStr">
        <is>
          <t>702-555-7813</t>
        </is>
      </c>
      <c r="H587" s="9" t="inlineStr">
        <is>
          <t>DOT69772</t>
        </is>
      </c>
      <c r="I587" s="11" t="n">
        <v>0.317</v>
      </c>
      <c r="J587" s="8" t="inlineStr">
        <is>
          <t>Savana Desert Fuel Line Seal Degradation Failure</t>
        </is>
      </c>
      <c r="K587" s="9" t="inlineStr">
        <is>
          <t>Audit Run</t>
        </is>
      </c>
      <c r="L587" s="12">
        <f>IF(C587&gt;0, 99 + (C587 * 2.5), 0)</f>
        <v/>
      </c>
    </row>
    <row r="588">
      <c r="A588" s="13" t="inlineStr">
        <is>
          <t>Las Vegas Power Systems LLC</t>
        </is>
      </c>
      <c r="B588" s="14" t="inlineStr">
        <is>
          <t>Electrical Services</t>
        </is>
      </c>
      <c r="C588" s="15" t="n">
        <v>125</v>
      </c>
      <c r="D588" s="13" t="inlineStr">
        <is>
          <t>Ram ProMaster 1500</t>
        </is>
      </c>
      <c r="E588" s="13" t="inlineStr">
        <is>
          <t>Anthony Lopez</t>
        </is>
      </c>
      <c r="F588" s="13" t="inlineStr">
        <is>
          <t>anthony@lasvegaspowersystemsllc.com</t>
        </is>
      </c>
      <c r="G588" s="13" t="inlineStr">
        <is>
          <t>702-555-4698</t>
        </is>
      </c>
      <c r="H588" s="14" t="inlineStr">
        <is>
          <t>DOT34352</t>
        </is>
      </c>
      <c r="I588" s="16" t="n">
        <v>0.172</v>
      </c>
      <c r="J588" s="13" t="inlineStr">
        <is>
          <t>ProMaster Brake Line Rubbing Collision Abrasion Leak</t>
        </is>
      </c>
      <c r="K588" s="14" t="inlineStr">
        <is>
          <t>Warm Prospect</t>
        </is>
      </c>
      <c r="L588" s="17">
        <f>IF(C588&gt;0, 99 + (C588 * 2.5), 0)</f>
        <v/>
      </c>
    </row>
    <row r="589">
      <c r="A589" s="8" t="inlineStr">
        <is>
          <t>First Choice Charter Buses Inc</t>
        </is>
      </c>
      <c r="B589" s="9" t="inlineStr">
        <is>
          <t>Boutique Transit</t>
        </is>
      </c>
      <c r="C589" s="10" t="n">
        <v>138</v>
      </c>
      <c r="D589" s="8" t="inlineStr">
        <is>
          <t>Ford Transit 350</t>
        </is>
      </c>
      <c r="E589" s="8" t="inlineStr">
        <is>
          <t>Charles Wilson</t>
        </is>
      </c>
      <c r="F589" s="8" t="inlineStr">
        <is>
          <t>charles@firstchoicecharterbusesinc.com</t>
        </is>
      </c>
      <c r="G589" s="8" t="inlineStr">
        <is>
          <t>702-555-9948</t>
        </is>
      </c>
      <c r="H589" s="9" t="inlineStr">
        <is>
          <t>DOT85543</t>
        </is>
      </c>
      <c r="I589" s="11" t="n">
        <v>0.154</v>
      </c>
      <c r="J589" s="8" t="inlineStr">
        <is>
          <t>Transit 114°F Electrical Module Overheat Wire Ground Fire Risk</t>
        </is>
      </c>
      <c r="K589" s="9" t="inlineStr">
        <is>
          <t>Warm Prospect</t>
        </is>
      </c>
      <c r="L589" s="12">
        <f>IF(C589&gt;0, 99 + (C589 * 2.5), 0)</f>
        <v/>
      </c>
    </row>
    <row r="590">
      <c r="A590" s="13" t="inlineStr">
        <is>
          <t>First Choice Charter Buses LLC</t>
        </is>
      </c>
      <c r="B590" s="14" t="inlineStr">
        <is>
          <t>Boutique Transit</t>
        </is>
      </c>
      <c r="C590" s="15" t="n">
        <v>133</v>
      </c>
      <c r="D590" s="13" t="inlineStr">
        <is>
          <t>Mercedes-Benz Sprinter 2500</t>
        </is>
      </c>
      <c r="E590" s="13" t="inlineStr">
        <is>
          <t>James Jones</t>
        </is>
      </c>
      <c r="F590" s="13" t="inlineStr">
        <is>
          <t>james@firstchoicecharterbusesllc.com</t>
        </is>
      </c>
      <c r="G590" s="13" t="inlineStr">
        <is>
          <t>702-555-9624</t>
        </is>
      </c>
      <c r="H590" s="14" t="inlineStr">
        <is>
          <t>DOT46624</t>
        </is>
      </c>
      <c r="I590" s="16" t="n">
        <v>0.184</v>
      </c>
      <c r="J590" s="13" t="inlineStr">
        <is>
          <t>Sprinter AC Comp Condensation Drain Backup Wiring Short</t>
        </is>
      </c>
      <c r="K590" s="14" t="inlineStr">
        <is>
          <t>Warm Prospect</t>
        </is>
      </c>
      <c r="L590" s="17">
        <f>IF(C590&gt;0, 99 + (C590 * 2.5), 0)</f>
        <v/>
      </c>
    </row>
    <row r="591">
      <c r="A591" s="8" t="inlineStr">
        <is>
          <t>Spring Valley Logistics Inc</t>
        </is>
      </c>
      <c r="B591" s="9" t="inlineStr">
        <is>
          <t>Boutique Transit</t>
        </is>
      </c>
      <c r="C591" s="10" t="n">
        <v>130</v>
      </c>
      <c r="D591" s="8" t="inlineStr">
        <is>
          <t>Mercedes-Benz Sprinter 2500</t>
        </is>
      </c>
      <c r="E591" s="8" t="inlineStr">
        <is>
          <t>James Moore</t>
        </is>
      </c>
      <c r="F591" s="8" t="inlineStr">
        <is>
          <t>james@springvalleylogisticsinc.com</t>
        </is>
      </c>
      <c r="G591" s="8" t="inlineStr">
        <is>
          <t>702-555-6119</t>
        </is>
      </c>
      <c r="H591" s="9" t="inlineStr">
        <is>
          <t>DOT90352</t>
        </is>
      </c>
      <c r="I591" s="11" t="n">
        <v>0.056</v>
      </c>
      <c r="J591" s="8" t="inlineStr">
        <is>
          <t>Sprinter AC Comp Condensation Drain Backup Wiring Short</t>
        </is>
      </c>
      <c r="K591" s="9" t="inlineStr">
        <is>
          <t>Warm Prospect</t>
        </is>
      </c>
      <c r="L591" s="12">
        <f>IF(C591&gt;0, 99 + (C591 * 2.5), 0)</f>
        <v/>
      </c>
    </row>
    <row r="592">
      <c r="A592" s="13" t="inlineStr">
        <is>
          <t>Henderson Shuttles LLC</t>
        </is>
      </c>
      <c r="B592" s="14" t="inlineStr">
        <is>
          <t>Boutique Transit</t>
        </is>
      </c>
      <c r="C592" s="15" t="n">
        <v>141</v>
      </c>
      <c r="D592" s="13" t="inlineStr">
        <is>
          <t>Mercedes-Benz Sprinter 3500</t>
        </is>
      </c>
      <c r="E592" s="13" t="inlineStr">
        <is>
          <t>Steven Jackson</t>
        </is>
      </c>
      <c r="F592" s="13" t="inlineStr">
        <is>
          <t>steven@hendersonshuttlesllc.com</t>
        </is>
      </c>
      <c r="G592" s="13" t="inlineStr">
        <is>
          <t>702-555-6431</t>
        </is>
      </c>
      <c r="H592" s="14" t="inlineStr">
        <is>
          <t>DOT65183</t>
        </is>
      </c>
      <c r="I592" s="16" t="n">
        <v>0.149</v>
      </c>
      <c r="J592" s="13" t="inlineStr">
        <is>
          <t>Sprinter AC Comp Condensation Drain Backup Wiring Short</t>
        </is>
      </c>
      <c r="K592" s="14" t="inlineStr">
        <is>
          <t>Warm Prospect</t>
        </is>
      </c>
      <c r="L592" s="17">
        <f>IF(C592&gt;0, 99 + (C592 * 2.5), 0)</f>
        <v/>
      </c>
    </row>
    <row r="593">
      <c r="A593" s="8" t="inlineStr">
        <is>
          <t>Red Rock Electric &amp; Solar Group</t>
        </is>
      </c>
      <c r="B593" s="9" t="inlineStr">
        <is>
          <t>Electrical Services</t>
        </is>
      </c>
      <c r="C593" s="10" t="n">
        <v>76</v>
      </c>
      <c r="D593" s="8" t="inlineStr">
        <is>
          <t>Ram ProMaster 2500</t>
        </is>
      </c>
      <c r="E593" s="8" t="inlineStr">
        <is>
          <t>Michael Thomas</t>
        </is>
      </c>
      <c r="F593" s="8" t="inlineStr">
        <is>
          <t>michael@redrockelectricsolargroup.com</t>
        </is>
      </c>
      <c r="G593" s="8" t="inlineStr">
        <is>
          <t>702-555-3770</t>
        </is>
      </c>
      <c r="H593" s="9" t="inlineStr">
        <is>
          <t>DOT85085</t>
        </is>
      </c>
      <c r="I593" s="11" t="n">
        <v>0.056</v>
      </c>
      <c r="J593" s="8" t="inlineStr">
        <is>
          <t>ProMaster Brake Line Rubbing Collision Abrasion Leak</t>
        </is>
      </c>
      <c r="K593" s="9" t="inlineStr">
        <is>
          <t>Warm Prospect</t>
        </is>
      </c>
      <c r="L593" s="12">
        <f>IF(C593&gt;0, 99 + (C593 * 2.5), 0)</f>
        <v/>
      </c>
    </row>
    <row r="594">
      <c r="A594" s="13" t="inlineStr">
        <is>
          <t>Las Vegas Shuttles LLC</t>
        </is>
      </c>
      <c r="B594" s="14" t="inlineStr">
        <is>
          <t>Boutique Transit</t>
        </is>
      </c>
      <c r="C594" s="15" t="n">
        <v>31</v>
      </c>
      <c r="D594" s="13" t="inlineStr">
        <is>
          <t>Mercedes-Benz Sprinter 3500</t>
        </is>
      </c>
      <c r="E594" s="13" t="inlineStr">
        <is>
          <t>David Taylor</t>
        </is>
      </c>
      <c r="F594" s="13" t="inlineStr">
        <is>
          <t>david@lasvegasshuttlesllc.com</t>
        </is>
      </c>
      <c r="G594" s="13" t="inlineStr">
        <is>
          <t>702-555-2259</t>
        </is>
      </c>
      <c r="H594" s="14" t="inlineStr">
        <is>
          <t>DOT46418</t>
        </is>
      </c>
      <c r="I594" s="16" t="n">
        <v>0.118</v>
      </c>
      <c r="J594" s="13" t="inlineStr">
        <is>
          <t>Sprinter AC Comp Condensation Drain Backup Wiring Short</t>
        </is>
      </c>
      <c r="K594" s="14" t="inlineStr">
        <is>
          <t>Audit Run</t>
        </is>
      </c>
      <c r="L594" s="17">
        <f>IF(C594&gt;0, 99 + (C594 * 2.5), 0)</f>
        <v/>
      </c>
    </row>
    <row r="595">
      <c r="A595" s="8" t="inlineStr">
        <is>
          <t>Mojave Electrical Contractors Inc</t>
        </is>
      </c>
      <c r="B595" s="9" t="inlineStr">
        <is>
          <t>Electrical Services</t>
        </is>
      </c>
      <c r="C595" s="10" t="n">
        <v>54</v>
      </c>
      <c r="D595" s="8" t="inlineStr">
        <is>
          <t>Chevy Express 2500</t>
        </is>
      </c>
      <c r="E595" s="8" t="inlineStr">
        <is>
          <t>Joshua Jones</t>
        </is>
      </c>
      <c r="F595" s="8" t="inlineStr">
        <is>
          <t>joshua@mojaveelectricalcontractorsinc.com</t>
        </is>
      </c>
      <c r="G595" s="8" t="inlineStr">
        <is>
          <t>702-555-8317</t>
        </is>
      </c>
      <c r="H595" s="9" t="inlineStr">
        <is>
          <t>DOT58466</t>
        </is>
      </c>
      <c r="I595" s="11" t="n">
        <v>0.29</v>
      </c>
      <c r="J595" s="8" t="inlineStr">
        <is>
          <t>Express Engine Bay Hose Thermal Crack Hazard</t>
        </is>
      </c>
      <c r="K595" s="9" t="inlineStr">
        <is>
          <t>Warm Prospect</t>
        </is>
      </c>
      <c r="L595" s="12">
        <f>IF(C595&gt;0, 99 + (C595 * 2.5), 0)</f>
        <v/>
      </c>
    </row>
    <row r="596">
      <c r="A596" s="13" t="inlineStr">
        <is>
          <t>Sunset Tours &amp; Transit Inc</t>
        </is>
      </c>
      <c r="B596" s="14" t="inlineStr">
        <is>
          <t>Boutique Transit</t>
        </is>
      </c>
      <c r="C596" s="15" t="n">
        <v>18</v>
      </c>
      <c r="D596" s="13" t="inlineStr">
        <is>
          <t>Ford Transit 350</t>
        </is>
      </c>
      <c r="E596" s="13" t="inlineStr">
        <is>
          <t>Daniel Williams</t>
        </is>
      </c>
      <c r="F596" s="13" t="inlineStr">
        <is>
          <t>daniel@sunsettourstransitinc.com</t>
        </is>
      </c>
      <c r="G596" s="13" t="inlineStr">
        <is>
          <t>702-555-3376</t>
        </is>
      </c>
      <c r="H596" s="14" t="inlineStr">
        <is>
          <t>DOT88059</t>
        </is>
      </c>
      <c r="I596" s="16" t="n">
        <v>0.33</v>
      </c>
      <c r="J596" s="13" t="inlineStr">
        <is>
          <t>Transit 114°F Electrical Module Overheat Wire Ground Fire Risk</t>
        </is>
      </c>
      <c r="K596" s="14" t="inlineStr">
        <is>
          <t>Warm Prospect</t>
        </is>
      </c>
      <c r="L596" s="17">
        <f>IF(C596&gt;0, 99 + (C596 * 2.5), 0)</f>
        <v/>
      </c>
    </row>
    <row r="597">
      <c r="A597" s="8" t="inlineStr">
        <is>
          <t>Henderson Wiring Solutions LLC</t>
        </is>
      </c>
      <c r="B597" s="9" t="inlineStr">
        <is>
          <t>Electrical Services</t>
        </is>
      </c>
      <c r="C597" s="10" t="n">
        <v>122</v>
      </c>
      <c r="D597" s="8" t="inlineStr">
        <is>
          <t>Chevy Express 3500</t>
        </is>
      </c>
      <c r="E597" s="8" t="inlineStr">
        <is>
          <t>William Miller</t>
        </is>
      </c>
      <c r="F597" s="8" t="inlineStr">
        <is>
          <t>william@hendersonwiringsolutionsllc.com</t>
        </is>
      </c>
      <c r="G597" s="8" t="inlineStr">
        <is>
          <t>702-555-6653</t>
        </is>
      </c>
      <c r="H597" s="9" t="inlineStr">
        <is>
          <t>DOT17120</t>
        </is>
      </c>
      <c r="I597" s="11" t="n">
        <v>0.239</v>
      </c>
      <c r="J597" s="8" t="inlineStr">
        <is>
          <t>Express Engine Bay Hose Thermal Crack Hazard</t>
        </is>
      </c>
      <c r="K597" s="9" t="inlineStr">
        <is>
          <t>Warm Prospect</t>
        </is>
      </c>
      <c r="L597" s="12">
        <f>IF(C597&gt;0, 99 + (C597 * 2.5), 0)</f>
        <v/>
      </c>
    </row>
    <row r="598">
      <c r="A598" s="13" t="inlineStr">
        <is>
          <t>Red Rock Comfort Heating LLC</t>
        </is>
      </c>
      <c r="B598" s="14" t="inlineStr">
        <is>
          <t>HVAC/Plumbing</t>
        </is>
      </c>
      <c r="C598" s="15" t="n">
        <v>87</v>
      </c>
      <c r="D598" s="13" t="inlineStr">
        <is>
          <t>GMC Savana 2500</t>
        </is>
      </c>
      <c r="E598" s="13" t="inlineStr">
        <is>
          <t>Steven Moore</t>
        </is>
      </c>
      <c r="F598" s="13" t="inlineStr">
        <is>
          <t>steven@redrockcomfortheatingllc.com</t>
        </is>
      </c>
      <c r="G598" s="13" t="inlineStr">
        <is>
          <t>702-555-4828</t>
        </is>
      </c>
      <c r="H598" s="14" t="inlineStr">
        <is>
          <t>DOT59781</t>
        </is>
      </c>
      <c r="I598" s="16" t="n">
        <v>0.252</v>
      </c>
      <c r="J598" s="13" t="inlineStr">
        <is>
          <t>Savana Desert Fuel Line Seal Degradation Failure</t>
        </is>
      </c>
      <c r="K598" s="14" t="inlineStr">
        <is>
          <t>Warm Prospect</t>
        </is>
      </c>
      <c r="L598" s="17">
        <f>IF(C598&gt;0, 99 + (C598 * 2.5), 0)</f>
        <v/>
      </c>
    </row>
    <row r="599">
      <c r="A599" s="8" t="inlineStr">
        <is>
          <t>Mojave Power Systems Group</t>
        </is>
      </c>
      <c r="B599" s="9" t="inlineStr">
        <is>
          <t>Electrical Services</t>
        </is>
      </c>
      <c r="C599" s="10" t="n">
        <v>13</v>
      </c>
      <c r="D599" s="8" t="inlineStr">
        <is>
          <t>Ram ProMaster 1500</t>
        </is>
      </c>
      <c r="E599" s="8" t="inlineStr">
        <is>
          <t>Christopher Anderson</t>
        </is>
      </c>
      <c r="F599" s="8" t="inlineStr">
        <is>
          <t>christopher@mojavepowersystemsgroup.com</t>
        </is>
      </c>
      <c r="G599" s="8" t="inlineStr">
        <is>
          <t>702-555-7258</t>
        </is>
      </c>
      <c r="H599" s="9" t="inlineStr">
        <is>
          <t>DOT98931</t>
        </is>
      </c>
      <c r="I599" s="11" t="n">
        <v>0.138</v>
      </c>
      <c r="J599" s="8" t="inlineStr">
        <is>
          <t>ProMaster Brake Line Rubbing Collision Abrasion Leak</t>
        </is>
      </c>
      <c r="K599" s="9" t="inlineStr">
        <is>
          <t>Audit Run</t>
        </is>
      </c>
      <c r="L599" s="12">
        <f>IF(C599&gt;0, 99 + (C599 * 2.5), 0)</f>
        <v/>
      </c>
    </row>
    <row r="600">
      <c r="A600" s="13" t="inlineStr">
        <is>
          <t>Silver State Shuttles Group</t>
        </is>
      </c>
      <c r="B600" s="14" t="inlineStr">
        <is>
          <t>Boutique Transit</t>
        </is>
      </c>
      <c r="C600" s="15" t="n">
        <v>100</v>
      </c>
      <c r="D600" s="13" t="inlineStr">
        <is>
          <t>Ford Transit 350</t>
        </is>
      </c>
      <c r="E600" s="13" t="inlineStr">
        <is>
          <t>Mark Martin</t>
        </is>
      </c>
      <c r="F600" s="13" t="inlineStr">
        <is>
          <t>mark@silverstateshuttlesgroup.com</t>
        </is>
      </c>
      <c r="G600" s="13" t="inlineStr">
        <is>
          <t>702-555-5466</t>
        </is>
      </c>
      <c r="H600" s="14" t="inlineStr">
        <is>
          <t>DOT53904</t>
        </is>
      </c>
      <c r="I600" s="16" t="n">
        <v>0.124</v>
      </c>
      <c r="J600" s="13" t="inlineStr">
        <is>
          <t>Transit 114°F Electrical Module Overheat Wire Ground Fire Risk</t>
        </is>
      </c>
      <c r="K600" s="14" t="inlineStr">
        <is>
          <t>Warm Prospect</t>
        </is>
      </c>
      <c r="L600" s="17">
        <f>IF(C600&gt;0, 99 + (C600 * 2.5), 0)</f>
        <v/>
      </c>
    </row>
    <row r="601">
      <c r="A601" s="8" t="inlineStr">
        <is>
          <t>Vegas Valley Lighting &amp; Power LLC</t>
        </is>
      </c>
      <c r="B601" s="9" t="inlineStr">
        <is>
          <t>Electrical Services</t>
        </is>
      </c>
      <c r="C601" s="10" t="n">
        <v>71</v>
      </c>
      <c r="D601" s="8" t="inlineStr">
        <is>
          <t>Ram ProMaster 1500</t>
        </is>
      </c>
      <c r="E601" s="8" t="inlineStr">
        <is>
          <t>Joshua Miller</t>
        </is>
      </c>
      <c r="F601" s="8" t="inlineStr">
        <is>
          <t>joshua@vegasvalleylightingpowerllc.com</t>
        </is>
      </c>
      <c r="G601" s="8" t="inlineStr">
        <is>
          <t>702-555-9518</t>
        </is>
      </c>
      <c r="H601" s="9" t="inlineStr">
        <is>
          <t>DOT54224</t>
        </is>
      </c>
      <c r="I601" s="11" t="n">
        <v>0.25</v>
      </c>
      <c r="J601" s="8" t="inlineStr">
        <is>
          <t>ProMaster Brake Line Rubbing Collision Abrasion Leak</t>
        </is>
      </c>
      <c r="K601" s="9" t="inlineStr">
        <is>
          <t>Warm Prospect</t>
        </is>
      </c>
      <c r="L601" s="12">
        <f>IF(C601&gt;0, 99 + (C601 * 2.5), 0)</f>
        <v/>
      </c>
    </row>
    <row r="602">
      <c r="A602" s="13" t="inlineStr">
        <is>
          <t>High Rise Electric &amp; Solar Group</t>
        </is>
      </c>
      <c r="B602" s="14" t="inlineStr">
        <is>
          <t>Electrical Services</t>
        </is>
      </c>
      <c r="C602" s="15" t="n">
        <v>27</v>
      </c>
      <c r="D602" s="13" t="inlineStr">
        <is>
          <t>Chevy Express 2500</t>
        </is>
      </c>
      <c r="E602" s="13" t="inlineStr">
        <is>
          <t>John Wilson</t>
        </is>
      </c>
      <c r="F602" s="13" t="inlineStr">
        <is>
          <t>john@highriseelectricsolargroup.com</t>
        </is>
      </c>
      <c r="G602" s="13" t="inlineStr">
        <is>
          <t>702-555-2600</t>
        </is>
      </c>
      <c r="H602" s="14" t="inlineStr">
        <is>
          <t>DOT78847</t>
        </is>
      </c>
      <c r="I602" s="16" t="n">
        <v>0.07199999999999999</v>
      </c>
      <c r="J602" s="13" t="inlineStr">
        <is>
          <t>Express Engine Bay Hose Thermal Crack Hazard</t>
        </is>
      </c>
      <c r="K602" s="14" t="inlineStr">
        <is>
          <t>Warm Prospect</t>
        </is>
      </c>
      <c r="L602" s="17">
        <f>IF(C602&gt;0, 99 + (C602 * 2.5), 0)</f>
        <v/>
      </c>
    </row>
    <row r="603">
      <c r="A603" s="8" t="inlineStr">
        <is>
          <t>Sunset Electric Pros LLC</t>
        </is>
      </c>
      <c r="B603" s="9" t="inlineStr">
        <is>
          <t>Electrical Services</t>
        </is>
      </c>
      <c r="C603" s="10" t="n">
        <v>59</v>
      </c>
      <c r="D603" s="8" t="inlineStr">
        <is>
          <t>Ram ProMaster 2500</t>
        </is>
      </c>
      <c r="E603" s="8" t="inlineStr">
        <is>
          <t>Michael Smith</t>
        </is>
      </c>
      <c r="F603" s="8" t="inlineStr">
        <is>
          <t>michael@sunsetelectricprosllc.com</t>
        </is>
      </c>
      <c r="G603" s="8" t="inlineStr">
        <is>
          <t>702-555-2506</t>
        </is>
      </c>
      <c r="H603" s="9" t="inlineStr">
        <is>
          <t>DOT17455</t>
        </is>
      </c>
      <c r="I603" s="11" t="n">
        <v>0.331</v>
      </c>
      <c r="J603" s="8" t="inlineStr">
        <is>
          <t>ProMaster Brake Line Rubbing Collision Abrasion Leak</t>
        </is>
      </c>
      <c r="K603" s="9" t="inlineStr">
        <is>
          <t>Warm Prospect</t>
        </is>
      </c>
      <c r="L603" s="12">
        <f>IF(C603&gt;0, 99 + (C603 * 2.5), 0)</f>
        <v/>
      </c>
    </row>
    <row r="604">
      <c r="A604" s="13" t="inlineStr">
        <is>
          <t>Vegas Valley Shuttles Group</t>
        </is>
      </c>
      <c r="B604" s="14" t="inlineStr">
        <is>
          <t>Boutique Transit</t>
        </is>
      </c>
      <c r="C604" s="15" t="n">
        <v>32</v>
      </c>
      <c r="D604" s="13" t="inlineStr">
        <is>
          <t>Mercedes-Benz Sprinter 2500</t>
        </is>
      </c>
      <c r="E604" s="13" t="inlineStr">
        <is>
          <t>Kenneth Jones</t>
        </is>
      </c>
      <c r="F604" s="13" t="inlineStr">
        <is>
          <t>kenneth@vegasvalleyshuttlesgroup.com</t>
        </is>
      </c>
      <c r="G604" s="13" t="inlineStr">
        <is>
          <t>702-555-7159</t>
        </is>
      </c>
      <c r="H604" s="14" t="inlineStr">
        <is>
          <t>DOT96034</t>
        </is>
      </c>
      <c r="I604" s="16" t="n">
        <v>0.277</v>
      </c>
      <c r="J604" s="13" t="inlineStr">
        <is>
          <t>Sprinter AC Comp Condensation Drain Backup Wiring Short</t>
        </is>
      </c>
      <c r="K604" s="14" t="inlineStr">
        <is>
          <t>Audit Run</t>
        </is>
      </c>
      <c r="L604" s="17">
        <f>IF(C604&gt;0, 99 + (C604 * 2.5), 0)</f>
        <v/>
      </c>
    </row>
    <row r="605">
      <c r="A605" s="8" t="inlineStr">
        <is>
          <t>Spring Valley Air Conditioning Group</t>
        </is>
      </c>
      <c r="B605" s="9" t="inlineStr">
        <is>
          <t>HVAC/Plumbing</t>
        </is>
      </c>
      <c r="C605" s="10" t="n">
        <v>74</v>
      </c>
      <c r="D605" s="8" t="inlineStr">
        <is>
          <t>Ford Transit 350</t>
        </is>
      </c>
      <c r="E605" s="8" t="inlineStr">
        <is>
          <t>Christopher Anderson</t>
        </is>
      </c>
      <c r="F605" s="8" t="inlineStr">
        <is>
          <t>christopher@springvalleyairconditioninggroup.com</t>
        </is>
      </c>
      <c r="G605" s="8" t="inlineStr">
        <is>
          <t>702-555-2240</t>
        </is>
      </c>
      <c r="H605" s="9" t="inlineStr">
        <is>
          <t>DOT93726</t>
        </is>
      </c>
      <c r="I605" s="11" t="n">
        <v>0.181</v>
      </c>
      <c r="J605" s="8" t="inlineStr">
        <is>
          <t>Transit 114°F Electrical Module Overheat Wire Ground Fire Risk</t>
        </is>
      </c>
      <c r="K605" s="9" t="inlineStr">
        <is>
          <t>Warm Prospect</t>
        </is>
      </c>
      <c r="L605" s="12">
        <f>IF(C605&gt;0, 99 + (C605 * 2.5), 0)</f>
        <v/>
      </c>
    </row>
    <row r="606">
      <c r="A606" s="13" t="inlineStr">
        <is>
          <t>Clark County Electric Pros LLC</t>
        </is>
      </c>
      <c r="B606" s="14" t="inlineStr">
        <is>
          <t>Electrical Services</t>
        </is>
      </c>
      <c r="C606" s="15" t="n">
        <v>51</v>
      </c>
      <c r="D606" s="13" t="inlineStr">
        <is>
          <t>Ram ProMaster 2500</t>
        </is>
      </c>
      <c r="E606" s="13" t="inlineStr">
        <is>
          <t>James Rodriguez</t>
        </is>
      </c>
      <c r="F606" s="13" t="inlineStr">
        <is>
          <t>james@clarkcountyelectricprosllc.com</t>
        </is>
      </c>
      <c r="G606" s="13" t="inlineStr">
        <is>
          <t>702-555-2022</t>
        </is>
      </c>
      <c r="H606" s="14" t="inlineStr">
        <is>
          <t>DOT60174</t>
        </is>
      </c>
      <c r="I606" s="16" t="n">
        <v>0.16</v>
      </c>
      <c r="J606" s="13" t="inlineStr">
        <is>
          <t>ProMaster Brake Line Rubbing Collision Abrasion Leak</t>
        </is>
      </c>
      <c r="K606" s="14" t="inlineStr">
        <is>
          <t>Warm Prospect</t>
        </is>
      </c>
      <c r="L606" s="17">
        <f>IF(C606&gt;0, 99 + (C606 * 2.5), 0)</f>
        <v/>
      </c>
    </row>
    <row r="607">
      <c r="A607" s="8" t="inlineStr">
        <is>
          <t>Summerlin Electrical Contractors Inc</t>
        </is>
      </c>
      <c r="B607" s="9" t="inlineStr">
        <is>
          <t>Electrical Services</t>
        </is>
      </c>
      <c r="C607" s="10" t="n">
        <v>27</v>
      </c>
      <c r="D607" s="8" t="inlineStr">
        <is>
          <t>Ram ProMaster 1500</t>
        </is>
      </c>
      <c r="E607" s="8" t="inlineStr">
        <is>
          <t>Steven Miller</t>
        </is>
      </c>
      <c r="F607" s="8" t="inlineStr">
        <is>
          <t>steven@summerlinelectricalcontractorsinc.com</t>
        </is>
      </c>
      <c r="G607" s="8" t="inlineStr">
        <is>
          <t>702-555-7432</t>
        </is>
      </c>
      <c r="H607" s="9" t="inlineStr">
        <is>
          <t>DOT33388</t>
        </is>
      </c>
      <c r="I607" s="11" t="n">
        <v>0.24</v>
      </c>
      <c r="J607" s="8" t="inlineStr">
        <is>
          <t>ProMaster Brake Line Rubbing Collision Abrasion Leak</t>
        </is>
      </c>
      <c r="K607" s="9" t="inlineStr">
        <is>
          <t>Warm Prospect</t>
        </is>
      </c>
      <c r="L607" s="12">
        <f>IF(C607&gt;0, 99 + (C607 * 2.5), 0)</f>
        <v/>
      </c>
    </row>
    <row r="608">
      <c r="A608" s="13" t="inlineStr">
        <is>
          <t>High Rise Comfort Heating Inc</t>
        </is>
      </c>
      <c r="B608" s="14" t="inlineStr">
        <is>
          <t>HVAC/Plumbing</t>
        </is>
      </c>
      <c r="C608" s="15" t="n">
        <v>37</v>
      </c>
      <c r="D608" s="13" t="inlineStr">
        <is>
          <t>Chevy Express 2500</t>
        </is>
      </c>
      <c r="E608" s="13" t="inlineStr">
        <is>
          <t>Donald Rodriguez</t>
        </is>
      </c>
      <c r="F608" s="13" t="inlineStr">
        <is>
          <t>donald@highrisecomfortheatinginc.com</t>
        </is>
      </c>
      <c r="G608" s="13" t="inlineStr">
        <is>
          <t>702-555-2692</t>
        </is>
      </c>
      <c r="H608" s="14" t="inlineStr">
        <is>
          <t>DOT14569</t>
        </is>
      </c>
      <c r="I608" s="16" t="n">
        <v>0.063</v>
      </c>
      <c r="J608" s="13" t="inlineStr">
        <is>
          <t>Express Engine Bay Hose Thermal Crack Hazard</t>
        </is>
      </c>
      <c r="K608" s="14" t="inlineStr">
        <is>
          <t>Audit Run</t>
        </is>
      </c>
      <c r="L608" s="17">
        <f>IF(C608&gt;0, 99 + (C608 * 2.5), 0)</f>
        <v/>
      </c>
    </row>
    <row r="609">
      <c r="A609" s="8" t="inlineStr">
        <is>
          <t>Mojave Tours &amp; Transit Inc</t>
        </is>
      </c>
      <c r="B609" s="9" t="inlineStr">
        <is>
          <t>Boutique Transit</t>
        </is>
      </c>
      <c r="C609" s="10" t="n">
        <v>48</v>
      </c>
      <c r="D609" s="8" t="inlineStr">
        <is>
          <t>Mercedes-Benz Sprinter 3500</t>
        </is>
      </c>
      <c r="E609" s="8" t="inlineStr">
        <is>
          <t>John Johnson</t>
        </is>
      </c>
      <c r="F609" s="8" t="inlineStr">
        <is>
          <t>john@mojavetourstransitinc.com</t>
        </is>
      </c>
      <c r="G609" s="8" t="inlineStr">
        <is>
          <t>702-555-7397</t>
        </is>
      </c>
      <c r="H609" s="9" t="inlineStr">
        <is>
          <t>DOT44922</t>
        </is>
      </c>
      <c r="I609" s="11" t="n">
        <v>0.08699999999999999</v>
      </c>
      <c r="J609" s="8" t="inlineStr">
        <is>
          <t>Sprinter AC Comp Condensation Drain Backup Wiring Short</t>
        </is>
      </c>
      <c r="K609" s="9" t="inlineStr">
        <is>
          <t>Warm Prospect</t>
        </is>
      </c>
      <c r="L609" s="12">
        <f>IF(C609&gt;0, 99 + (C609 * 2.5), 0)</f>
        <v/>
      </c>
    </row>
    <row r="610">
      <c r="A610" s="13" t="inlineStr">
        <is>
          <t>Las Vegas Electric &amp; Solar Group</t>
        </is>
      </c>
      <c r="B610" s="14" t="inlineStr">
        <is>
          <t>Electrical Services</t>
        </is>
      </c>
      <c r="C610" s="15" t="n">
        <v>132</v>
      </c>
      <c r="D610" s="13" t="inlineStr">
        <is>
          <t>Ram ProMaster 1500</t>
        </is>
      </c>
      <c r="E610" s="13" t="inlineStr">
        <is>
          <t>Mark Gonzalez</t>
        </is>
      </c>
      <c r="F610" s="13" t="inlineStr">
        <is>
          <t>mark@lasvegaselectricsolargroup.com</t>
        </is>
      </c>
      <c r="G610" s="13" t="inlineStr">
        <is>
          <t>702-555-2148</t>
        </is>
      </c>
      <c r="H610" s="14" t="inlineStr">
        <is>
          <t>DOT80795</t>
        </is>
      </c>
      <c r="I610" s="16" t="n">
        <v>0.11</v>
      </c>
      <c r="J610" s="13" t="inlineStr">
        <is>
          <t>ProMaster Brake Line Rubbing Collision Abrasion Leak</t>
        </is>
      </c>
      <c r="K610" s="14" t="inlineStr">
        <is>
          <t>Warm Prospect</t>
        </is>
      </c>
      <c r="L610" s="17">
        <f>IF(C610&gt;0, 99 + (C610 * 2.5), 0)</f>
        <v/>
      </c>
    </row>
    <row r="611">
      <c r="A611" s="8" t="inlineStr">
        <is>
          <t>Summerlin Tours &amp; Transit Inc</t>
        </is>
      </c>
      <c r="B611" s="9" t="inlineStr">
        <is>
          <t>Boutique Transit</t>
        </is>
      </c>
      <c r="C611" s="10" t="n">
        <v>147</v>
      </c>
      <c r="D611" s="8" t="inlineStr">
        <is>
          <t>Ford Transit 350</t>
        </is>
      </c>
      <c r="E611" s="8" t="inlineStr">
        <is>
          <t>Matthew Hernandez</t>
        </is>
      </c>
      <c r="F611" s="8" t="inlineStr">
        <is>
          <t>matthew@summerlintourstransitinc.com</t>
        </is>
      </c>
      <c r="G611" s="8" t="inlineStr">
        <is>
          <t>702-555-5961</t>
        </is>
      </c>
      <c r="H611" s="9" t="inlineStr">
        <is>
          <t>DOT62509</t>
        </is>
      </c>
      <c r="I611" s="11" t="n">
        <v>0.057</v>
      </c>
      <c r="J611" s="8" t="inlineStr">
        <is>
          <t>Transit 114°F Electrical Module Overheat Wire Ground Fire Risk</t>
        </is>
      </c>
      <c r="K611" s="9" t="inlineStr">
        <is>
          <t>Warm Prospect</t>
        </is>
      </c>
      <c r="L611" s="12">
        <f>IF(C611&gt;0, 99 + (C611 * 2.5), 0)</f>
        <v/>
      </c>
    </row>
    <row r="612">
      <c r="A612" s="13" t="inlineStr">
        <is>
          <t>High Rise Electrical Contractors Inc</t>
        </is>
      </c>
      <c r="B612" s="14" t="inlineStr">
        <is>
          <t>Electrical Services</t>
        </is>
      </c>
      <c r="C612" s="15" t="n">
        <v>84</v>
      </c>
      <c r="D612" s="13" t="inlineStr">
        <is>
          <t>Ram ProMaster 1500</t>
        </is>
      </c>
      <c r="E612" s="13" t="inlineStr">
        <is>
          <t>Richard Garcia</t>
        </is>
      </c>
      <c r="F612" s="13" t="inlineStr">
        <is>
          <t>richard@highriseelectricalcontractorsinc.com</t>
        </is>
      </c>
      <c r="G612" s="13" t="inlineStr">
        <is>
          <t>702-555-1644</t>
        </is>
      </c>
      <c r="H612" s="14" t="inlineStr">
        <is>
          <t>DOT60353</t>
        </is>
      </c>
      <c r="I612" s="16" t="n">
        <v>0.245</v>
      </c>
      <c r="J612" s="13" t="inlineStr">
        <is>
          <t>ProMaster Brake Line Rubbing Collision Abrasion Leak</t>
        </is>
      </c>
      <c r="K612" s="14" t="inlineStr">
        <is>
          <t>Warm Prospect</t>
        </is>
      </c>
      <c r="L612" s="17">
        <f>IF(C612&gt;0, 99 + (C612 * 2.5), 0)</f>
        <v/>
      </c>
    </row>
    <row r="613">
      <c r="A613" s="8" t="inlineStr">
        <is>
          <t>Titan Shuttles Group</t>
        </is>
      </c>
      <c r="B613" s="9" t="inlineStr">
        <is>
          <t>Boutique Transit</t>
        </is>
      </c>
      <c r="C613" s="10" t="n">
        <v>101</v>
      </c>
      <c r="D613" s="8" t="inlineStr">
        <is>
          <t>Ford Transit 350</t>
        </is>
      </c>
      <c r="E613" s="8" t="inlineStr">
        <is>
          <t>Steven Williams</t>
        </is>
      </c>
      <c r="F613" s="8" t="inlineStr">
        <is>
          <t>steven@titanshuttlesgroup.com</t>
        </is>
      </c>
      <c r="G613" s="8" t="inlineStr">
        <is>
          <t>702-555-8175</t>
        </is>
      </c>
      <c r="H613" s="9" t="inlineStr">
        <is>
          <t>DOT34833</t>
        </is>
      </c>
      <c r="I613" s="11" t="n">
        <v>0.083</v>
      </c>
      <c r="J613" s="8" t="inlineStr">
        <is>
          <t>Transit 114°F Electrical Module Overheat Wire Ground Fire Risk</t>
        </is>
      </c>
      <c r="K613" s="9" t="inlineStr">
        <is>
          <t>Warm Prospect</t>
        </is>
      </c>
      <c r="L613" s="12">
        <f>IF(C613&gt;0, 99 + (C613 * 2.5), 0)</f>
        <v/>
      </c>
    </row>
    <row r="614">
      <c r="A614" s="13" t="inlineStr">
        <is>
          <t>Clark County Plumbing Experts Inc</t>
        </is>
      </c>
      <c r="B614" s="14" t="inlineStr">
        <is>
          <t>HVAC/Plumbing</t>
        </is>
      </c>
      <c r="C614" s="15" t="n">
        <v>109</v>
      </c>
      <c r="D614" s="13" t="inlineStr">
        <is>
          <t>GMC Savana 2500</t>
        </is>
      </c>
      <c r="E614" s="13" t="inlineStr">
        <is>
          <t>James Moore</t>
        </is>
      </c>
      <c r="F614" s="13" t="inlineStr">
        <is>
          <t>james@clarkcountyplumbingexpertsinc.com</t>
        </is>
      </c>
      <c r="G614" s="13" t="inlineStr">
        <is>
          <t>702-555-6041</t>
        </is>
      </c>
      <c r="H614" s="14" t="inlineStr">
        <is>
          <t>DOT75494</t>
        </is>
      </c>
      <c r="I614" s="16" t="n">
        <v>0.206</v>
      </c>
      <c r="J614" s="13" t="inlineStr">
        <is>
          <t>Savana Desert Fuel Line Seal Degradation Failure</t>
        </is>
      </c>
      <c r="K614" s="14" t="inlineStr">
        <is>
          <t>Warm Prospect</t>
        </is>
      </c>
      <c r="L614" s="17">
        <f>IF(C614&gt;0, 99 + (C614 * 2.5), 0)</f>
        <v/>
      </c>
    </row>
    <row r="615">
      <c r="A615" s="8" t="inlineStr">
        <is>
          <t>Silver State HVAC Services Inc</t>
        </is>
      </c>
      <c r="B615" s="9" t="inlineStr">
        <is>
          <t>HVAC/Plumbing</t>
        </is>
      </c>
      <c r="C615" s="10" t="n">
        <v>20</v>
      </c>
      <c r="D615" s="8" t="inlineStr">
        <is>
          <t>Ford Transit 150</t>
        </is>
      </c>
      <c r="E615" s="8" t="inlineStr">
        <is>
          <t>Anthony Brown</t>
        </is>
      </c>
      <c r="F615" s="8" t="inlineStr">
        <is>
          <t>anthony@silverstatehvacservicesinc.com</t>
        </is>
      </c>
      <c r="G615" s="8" t="inlineStr">
        <is>
          <t>702-555-4468</t>
        </is>
      </c>
      <c r="H615" s="9" t="inlineStr">
        <is>
          <t>DOT95701</t>
        </is>
      </c>
      <c r="I615" s="11" t="n">
        <v>0.247</v>
      </c>
      <c r="J615" s="8" t="inlineStr">
        <is>
          <t>Transit 114°F Electrical Module Overheat Wire Ground Fire Risk</t>
        </is>
      </c>
      <c r="K615" s="9" t="inlineStr">
        <is>
          <t>Warm Prospect</t>
        </is>
      </c>
      <c r="L615" s="12">
        <f>IF(C615&gt;0, 99 + (C615 * 2.5), 0)</f>
        <v/>
      </c>
    </row>
    <row r="616">
      <c r="A616" s="13" t="inlineStr">
        <is>
          <t>Summerlin Logistics Inc</t>
        </is>
      </c>
      <c r="B616" s="14" t="inlineStr">
        <is>
          <t>Boutique Transit</t>
        </is>
      </c>
      <c r="C616" s="15" t="n">
        <v>69</v>
      </c>
      <c r="D616" s="13" t="inlineStr">
        <is>
          <t>Ford Transit 350</t>
        </is>
      </c>
      <c r="E616" s="13" t="inlineStr">
        <is>
          <t>James Johnson</t>
        </is>
      </c>
      <c r="F616" s="13" t="inlineStr">
        <is>
          <t>james@summerlinlogisticsinc.com</t>
        </is>
      </c>
      <c r="G616" s="13" t="inlineStr">
        <is>
          <t>702-555-3319</t>
        </is>
      </c>
      <c r="H616" s="14" t="inlineStr">
        <is>
          <t>DOT74080</t>
        </is>
      </c>
      <c r="I616" s="16" t="n">
        <v>0.243</v>
      </c>
      <c r="J616" s="13" t="inlineStr">
        <is>
          <t>Transit 114°F Electrical Module Overheat Wire Ground Fire Risk</t>
        </is>
      </c>
      <c r="K616" s="14" t="inlineStr">
        <is>
          <t>Warm Prospect</t>
        </is>
      </c>
      <c r="L616" s="17">
        <f>IF(C616&gt;0, 99 + (C616 * 2.5), 0)</f>
        <v/>
      </c>
    </row>
    <row r="617">
      <c r="A617" s="8" t="inlineStr">
        <is>
          <t>Silver State Airport Express Group</t>
        </is>
      </c>
      <c r="B617" s="9" t="inlineStr">
        <is>
          <t>Boutique Transit</t>
        </is>
      </c>
      <c r="C617" s="10" t="n">
        <v>43</v>
      </c>
      <c r="D617" s="8" t="inlineStr">
        <is>
          <t>Ford Transit 350</t>
        </is>
      </c>
      <c r="E617" s="8" t="inlineStr">
        <is>
          <t>John Garcia</t>
        </is>
      </c>
      <c r="F617" s="8" t="inlineStr">
        <is>
          <t>john@silverstateairportexpressgroup.com</t>
        </is>
      </c>
      <c r="G617" s="8" t="inlineStr">
        <is>
          <t>702-555-1818</t>
        </is>
      </c>
      <c r="H617" s="9" t="inlineStr">
        <is>
          <t>DOT50283</t>
        </is>
      </c>
      <c r="I617" s="11" t="n">
        <v>0.294</v>
      </c>
      <c r="J617" s="8" t="inlineStr">
        <is>
          <t>Transit 114°F Electrical Module Overheat Wire Ground Fire Risk</t>
        </is>
      </c>
      <c r="K617" s="9" t="inlineStr">
        <is>
          <t>Warm Prospect</t>
        </is>
      </c>
      <c r="L617" s="12">
        <f>IF(C617&gt;0, 99 + (C617 * 2.5), 0)</f>
        <v/>
      </c>
    </row>
    <row r="618">
      <c r="A618" s="13" t="inlineStr">
        <is>
          <t>Las Vegas Power Systems Group</t>
        </is>
      </c>
      <c r="B618" s="14" t="inlineStr">
        <is>
          <t>Electrical Services</t>
        </is>
      </c>
      <c r="C618" s="15" t="n">
        <v>37</v>
      </c>
      <c r="D618" s="13" t="inlineStr">
        <is>
          <t>Chevy Express 2500</t>
        </is>
      </c>
      <c r="E618" s="13" t="inlineStr">
        <is>
          <t>Robert Thomas</t>
        </is>
      </c>
      <c r="F618" s="13" t="inlineStr">
        <is>
          <t>robert@lasvegaspowersystemsgroup.com</t>
        </is>
      </c>
      <c r="G618" s="13" t="inlineStr">
        <is>
          <t>702-555-4613</t>
        </is>
      </c>
      <c r="H618" s="14" t="inlineStr">
        <is>
          <t>DOT18271</t>
        </is>
      </c>
      <c r="I618" s="16" t="n">
        <v>0.289</v>
      </c>
      <c r="J618" s="13" t="inlineStr">
        <is>
          <t>Express Engine Bay Hose Thermal Crack Hazard</t>
        </is>
      </c>
      <c r="K618" s="14" t="inlineStr">
        <is>
          <t>Warm Prospect</t>
        </is>
      </c>
      <c r="L618" s="17">
        <f>IF(C618&gt;0, 99 + (C618 * 2.5), 0)</f>
        <v/>
      </c>
    </row>
    <row r="619">
      <c r="A619" s="8" t="inlineStr">
        <is>
          <t>Henderson Electric Pros Group</t>
        </is>
      </c>
      <c r="B619" s="9" t="inlineStr">
        <is>
          <t>Electrical Services</t>
        </is>
      </c>
      <c r="C619" s="10" t="n">
        <v>93</v>
      </c>
      <c r="D619" s="8" t="inlineStr">
        <is>
          <t>Ram ProMaster 1500</t>
        </is>
      </c>
      <c r="E619" s="8" t="inlineStr">
        <is>
          <t>Robert Jackson</t>
        </is>
      </c>
      <c r="F619" s="8" t="inlineStr">
        <is>
          <t>robert@hendersonelectricprosgroup.com</t>
        </is>
      </c>
      <c r="G619" s="8" t="inlineStr">
        <is>
          <t>702-555-9943</t>
        </is>
      </c>
      <c r="H619" s="9" t="inlineStr">
        <is>
          <t>DOT28000</t>
        </is>
      </c>
      <c r="I619" s="11" t="n">
        <v>0.14</v>
      </c>
      <c r="J619" s="8" t="inlineStr">
        <is>
          <t>ProMaster Brake Line Rubbing Collision Abrasion Leak</t>
        </is>
      </c>
      <c r="K619" s="9" t="inlineStr">
        <is>
          <t>Warm Prospect</t>
        </is>
      </c>
      <c r="L619" s="12">
        <f>IF(C619&gt;0, 99 + (C619 * 2.5), 0)</f>
        <v/>
      </c>
    </row>
    <row r="620">
      <c r="A620" s="13" t="inlineStr">
        <is>
          <t>Las Vegas Plumbing &amp; Drain LLC</t>
        </is>
      </c>
      <c r="B620" s="14" t="inlineStr">
        <is>
          <t>HVAC/Plumbing</t>
        </is>
      </c>
      <c r="C620" s="15" t="n">
        <v>40</v>
      </c>
      <c r="D620" s="13" t="inlineStr">
        <is>
          <t>Ford Transit 250</t>
        </is>
      </c>
      <c r="E620" s="13" t="inlineStr">
        <is>
          <t>Charles Jones</t>
        </is>
      </c>
      <c r="F620" s="13" t="inlineStr">
        <is>
          <t>charles@lasvegasplumbingdrainllc.com</t>
        </is>
      </c>
      <c r="G620" s="13" t="inlineStr">
        <is>
          <t>702-555-7801</t>
        </is>
      </c>
      <c r="H620" s="14" t="inlineStr">
        <is>
          <t>DOT32026</t>
        </is>
      </c>
      <c r="I620" s="16" t="n">
        <v>0.256</v>
      </c>
      <c r="J620" s="13" t="inlineStr">
        <is>
          <t>Transit 114°F Electrical Module Overheat Wire Ground Fire Risk</t>
        </is>
      </c>
      <c r="K620" s="14" t="inlineStr">
        <is>
          <t>Audit Run</t>
        </is>
      </c>
      <c r="L620" s="17">
        <f>IF(C620&gt;0, 99 + (C620 * 2.5), 0)</f>
        <v/>
      </c>
    </row>
    <row r="621">
      <c r="A621" s="8" t="inlineStr">
        <is>
          <t>First Choice Plumbing &amp; Drain Group</t>
        </is>
      </c>
      <c r="B621" s="9" t="inlineStr">
        <is>
          <t>HVAC/Plumbing</t>
        </is>
      </c>
      <c r="C621" s="10" t="n">
        <v>44</v>
      </c>
      <c r="D621" s="8" t="inlineStr">
        <is>
          <t>Ford Transit 250</t>
        </is>
      </c>
      <c r="E621" s="8" t="inlineStr">
        <is>
          <t>Robert Martin</t>
        </is>
      </c>
      <c r="F621" s="8" t="inlineStr">
        <is>
          <t>robert@firstchoiceplumbingdraingroup.com</t>
        </is>
      </c>
      <c r="G621" s="8" t="inlineStr">
        <is>
          <t>702-555-7162</t>
        </is>
      </c>
      <c r="H621" s="9" t="inlineStr">
        <is>
          <t>DOT30677</t>
        </is>
      </c>
      <c r="I621" s="11" t="n">
        <v>0.045</v>
      </c>
      <c r="J621" s="8" t="inlineStr">
        <is>
          <t>Transit 114°F Electrical Module Overheat Wire Ground Fire Risk</t>
        </is>
      </c>
      <c r="K621" s="9" t="inlineStr">
        <is>
          <t>Warm Prospect</t>
        </is>
      </c>
      <c r="L621" s="12">
        <f>IF(C621&gt;0, 99 + (C621 * 2.5), 0)</f>
        <v/>
      </c>
    </row>
    <row r="622">
      <c r="A622" s="13" t="inlineStr">
        <is>
          <t>Silver State Air Conditioning Inc</t>
        </is>
      </c>
      <c r="B622" s="14" t="inlineStr">
        <is>
          <t>HVAC/Plumbing</t>
        </is>
      </c>
      <c r="C622" s="15" t="n">
        <v>82</v>
      </c>
      <c r="D622" s="13" t="inlineStr">
        <is>
          <t>Ford Transit 250</t>
        </is>
      </c>
      <c r="E622" s="13" t="inlineStr">
        <is>
          <t>Mark Thomas</t>
        </is>
      </c>
      <c r="F622" s="13" t="inlineStr">
        <is>
          <t>mark@silverstateairconditioninginc.com</t>
        </is>
      </c>
      <c r="G622" s="13" t="inlineStr">
        <is>
          <t>702-555-3079</t>
        </is>
      </c>
      <c r="H622" s="14" t="inlineStr">
        <is>
          <t>DOT37021</t>
        </is>
      </c>
      <c r="I622" s="16" t="n">
        <v>0.08400000000000001</v>
      </c>
      <c r="J622" s="13" t="inlineStr">
        <is>
          <t>Transit 114°F Electrical Module Overheat Wire Ground Fire Risk</t>
        </is>
      </c>
      <c r="K622" s="14" t="inlineStr">
        <is>
          <t>Warm Prospect</t>
        </is>
      </c>
      <c r="L622" s="17">
        <f>IF(C622&gt;0, 99 + (C622 * 2.5), 0)</f>
        <v/>
      </c>
    </row>
    <row r="623">
      <c r="A623" s="8" t="inlineStr">
        <is>
          <t>First Choice Tours &amp; Transit Inc</t>
        </is>
      </c>
      <c r="B623" s="9" t="inlineStr">
        <is>
          <t>Boutique Transit</t>
        </is>
      </c>
      <c r="C623" s="10" t="n">
        <v>19</v>
      </c>
      <c r="D623" s="8" t="inlineStr">
        <is>
          <t>Mercedes-Benz Sprinter 2500</t>
        </is>
      </c>
      <c r="E623" s="8" t="inlineStr">
        <is>
          <t>Kenneth Garcia</t>
        </is>
      </c>
      <c r="F623" s="8" t="inlineStr">
        <is>
          <t>kenneth@firstchoicetourstransitinc.com</t>
        </is>
      </c>
      <c r="G623" s="8" t="inlineStr">
        <is>
          <t>702-555-9190</t>
        </is>
      </c>
      <c r="H623" s="9" t="inlineStr">
        <is>
          <t>DOT90222</t>
        </is>
      </c>
      <c r="I623" s="11" t="n">
        <v>0.335</v>
      </c>
      <c r="J623" s="8" t="inlineStr">
        <is>
          <t>Sprinter AC Comp Condensation Drain Backup Wiring Short</t>
        </is>
      </c>
      <c r="K623" s="9" t="inlineStr">
        <is>
          <t>Warm Prospect</t>
        </is>
      </c>
      <c r="L623" s="12">
        <f>IF(C623&gt;0, 99 + (C623 * 2.5), 0)</f>
        <v/>
      </c>
    </row>
    <row r="624">
      <c r="A624" s="13" t="inlineStr">
        <is>
          <t>Titan Electric &amp; Solar Group</t>
        </is>
      </c>
      <c r="B624" s="14" t="inlineStr">
        <is>
          <t>Electrical Services</t>
        </is>
      </c>
      <c r="C624" s="15" t="n">
        <v>59</v>
      </c>
      <c r="D624" s="13" t="inlineStr">
        <is>
          <t>Chevy Express 3500</t>
        </is>
      </c>
      <c r="E624" s="13" t="inlineStr">
        <is>
          <t>Robert Taylor</t>
        </is>
      </c>
      <c r="F624" s="13" t="inlineStr">
        <is>
          <t>robert@titanelectricsolargroup.com</t>
        </is>
      </c>
      <c r="G624" s="13" t="inlineStr">
        <is>
          <t>702-555-2567</t>
        </is>
      </c>
      <c r="H624" s="14" t="inlineStr">
        <is>
          <t>DOT91123</t>
        </is>
      </c>
      <c r="I624" s="16" t="n">
        <v>0.152</v>
      </c>
      <c r="J624" s="13" t="inlineStr">
        <is>
          <t>Express Engine Bay Hose Thermal Crack Hazard</t>
        </is>
      </c>
      <c r="K624" s="14" t="inlineStr">
        <is>
          <t>Audit Run</t>
        </is>
      </c>
      <c r="L624" s="17">
        <f>IF(C624&gt;0, 99 + (C624 * 2.5), 0)</f>
        <v/>
      </c>
    </row>
    <row r="625">
      <c r="A625" s="8" t="inlineStr">
        <is>
          <t>Sunset Tours &amp; Transit Group</t>
        </is>
      </c>
      <c r="B625" s="9" t="inlineStr">
        <is>
          <t>Boutique Transit</t>
        </is>
      </c>
      <c r="C625" s="10" t="n">
        <v>63</v>
      </c>
      <c r="D625" s="8" t="inlineStr">
        <is>
          <t>Ford Transit 350</t>
        </is>
      </c>
      <c r="E625" s="8" t="inlineStr">
        <is>
          <t>Charles Johnson</t>
        </is>
      </c>
      <c r="F625" s="8" t="inlineStr">
        <is>
          <t>charles@sunsettourstransitgroup.com</t>
        </is>
      </c>
      <c r="G625" s="8" t="inlineStr">
        <is>
          <t>702-555-4173</t>
        </is>
      </c>
      <c r="H625" s="9" t="inlineStr">
        <is>
          <t>DOT24769</t>
        </is>
      </c>
      <c r="I625" s="11" t="n">
        <v>0.287</v>
      </c>
      <c r="J625" s="8" t="inlineStr">
        <is>
          <t>Transit 114°F Electrical Module Overheat Wire Ground Fire Risk</t>
        </is>
      </c>
      <c r="K625" s="9" t="inlineStr">
        <is>
          <t>Warm Prospect</t>
        </is>
      </c>
      <c r="L625" s="12">
        <f>IF(C625&gt;0, 99 + (C625 * 2.5), 0)</f>
        <v/>
      </c>
    </row>
    <row r="626">
      <c r="A626" s="13" t="inlineStr">
        <is>
          <t>Red Rock Power Systems Group</t>
        </is>
      </c>
      <c r="B626" s="14" t="inlineStr">
        <is>
          <t>Electrical Services</t>
        </is>
      </c>
      <c r="C626" s="15" t="n">
        <v>23</v>
      </c>
      <c r="D626" s="13" t="inlineStr">
        <is>
          <t>Chevy Express 2500</t>
        </is>
      </c>
      <c r="E626" s="13" t="inlineStr">
        <is>
          <t>Matthew Martinez</t>
        </is>
      </c>
      <c r="F626" s="13" t="inlineStr">
        <is>
          <t>matthew@redrockpowersystemsgroup.com</t>
        </is>
      </c>
      <c r="G626" s="13" t="inlineStr">
        <is>
          <t>702-555-4433</t>
        </is>
      </c>
      <c r="H626" s="14" t="inlineStr">
        <is>
          <t>DOT66973</t>
        </is>
      </c>
      <c r="I626" s="16" t="n">
        <v>0.118</v>
      </c>
      <c r="J626" s="13" t="inlineStr">
        <is>
          <t>Express Engine Bay Hose Thermal Crack Hazard</t>
        </is>
      </c>
      <c r="K626" s="14" t="inlineStr">
        <is>
          <t>Audit Run</t>
        </is>
      </c>
      <c r="L626" s="17">
        <f>IF(C626&gt;0, 99 + (C626 * 2.5), 0)</f>
        <v/>
      </c>
    </row>
    <row r="627">
      <c r="A627" s="8" t="inlineStr">
        <is>
          <t>Silver State Electric &amp; Solar Group</t>
        </is>
      </c>
      <c r="B627" s="9" t="inlineStr">
        <is>
          <t>Electrical Services</t>
        </is>
      </c>
      <c r="C627" s="10" t="n">
        <v>147</v>
      </c>
      <c r="D627" s="8" t="inlineStr">
        <is>
          <t>Chevy Express 2500</t>
        </is>
      </c>
      <c r="E627" s="8" t="inlineStr">
        <is>
          <t>William Garcia</t>
        </is>
      </c>
      <c r="F627" s="8" t="inlineStr">
        <is>
          <t>william@silverstateelectricsolargroup.com</t>
        </is>
      </c>
      <c r="G627" s="8" t="inlineStr">
        <is>
          <t>702-555-1476</t>
        </is>
      </c>
      <c r="H627" s="9" t="inlineStr">
        <is>
          <t>DOT73577</t>
        </is>
      </c>
      <c r="I627" s="11" t="n">
        <v>0.2</v>
      </c>
      <c r="J627" s="8" t="inlineStr">
        <is>
          <t>Express Engine Bay Hose Thermal Crack Hazard</t>
        </is>
      </c>
      <c r="K627" s="9" t="inlineStr">
        <is>
          <t>Warm Prospect</t>
        </is>
      </c>
      <c r="L627" s="12">
        <f>IF(C627&gt;0, 99 + (C627 * 2.5), 0)</f>
        <v/>
      </c>
    </row>
    <row r="628">
      <c r="A628" s="13" t="inlineStr">
        <is>
          <t>Clark County Comfort Heating Group</t>
        </is>
      </c>
      <c r="B628" s="14" t="inlineStr">
        <is>
          <t>HVAC/Plumbing</t>
        </is>
      </c>
      <c r="C628" s="15" t="n">
        <v>93</v>
      </c>
      <c r="D628" s="13" t="inlineStr">
        <is>
          <t>Chevy Express 2500</t>
        </is>
      </c>
      <c r="E628" s="13" t="inlineStr">
        <is>
          <t>Mark Miller</t>
        </is>
      </c>
      <c r="F628" s="13" t="inlineStr">
        <is>
          <t>mark@clarkcountycomfortheatinggroup.com</t>
        </is>
      </c>
      <c r="G628" s="13" t="inlineStr">
        <is>
          <t>702-555-6336</t>
        </is>
      </c>
      <c r="H628" s="14" t="inlineStr">
        <is>
          <t>DOT40154</t>
        </is>
      </c>
      <c r="I628" s="16" t="n">
        <v>0.281</v>
      </c>
      <c r="J628" s="13" t="inlineStr">
        <is>
          <t>Express Engine Bay Hose Thermal Crack Hazard</t>
        </is>
      </c>
      <c r="K628" s="14" t="inlineStr">
        <is>
          <t>Warm Prospect</t>
        </is>
      </c>
      <c r="L628" s="17">
        <f>IF(C628&gt;0, 99 + (C628 * 2.5), 0)</f>
        <v/>
      </c>
    </row>
    <row r="629">
      <c r="A629" s="8" t="inlineStr">
        <is>
          <t>Apex Plumbing &amp; Drain Group</t>
        </is>
      </c>
      <c r="B629" s="9" t="inlineStr">
        <is>
          <t>HVAC/Plumbing</t>
        </is>
      </c>
      <c r="C629" s="10" t="n">
        <v>61</v>
      </c>
      <c r="D629" s="8" t="inlineStr">
        <is>
          <t>GMC Savana 2500</t>
        </is>
      </c>
      <c r="E629" s="8" t="inlineStr">
        <is>
          <t>Anthony Davis</t>
        </is>
      </c>
      <c r="F629" s="8" t="inlineStr">
        <is>
          <t>anthony@apexplumbingdraingroup.com</t>
        </is>
      </c>
      <c r="G629" s="8" t="inlineStr">
        <is>
          <t>702-555-2204</t>
        </is>
      </c>
      <c r="H629" s="9" t="inlineStr">
        <is>
          <t>DOT71733</t>
        </is>
      </c>
      <c r="I629" s="11" t="n">
        <v>0.221</v>
      </c>
      <c r="J629" s="8" t="inlineStr">
        <is>
          <t>Savana Desert Fuel Line Seal Degradation Failure</t>
        </is>
      </c>
      <c r="K629" s="9" t="inlineStr">
        <is>
          <t>Warm Prospect</t>
        </is>
      </c>
      <c r="L629" s="12">
        <f>IF(C629&gt;0, 99 + (C629 * 2.5), 0)</f>
        <v/>
      </c>
    </row>
    <row r="630">
      <c r="A630" s="13" t="inlineStr">
        <is>
          <t>Red Rock Power Systems Group</t>
        </is>
      </c>
      <c r="B630" s="14" t="inlineStr">
        <is>
          <t>Electrical Services</t>
        </is>
      </c>
      <c r="C630" s="15" t="n">
        <v>55</v>
      </c>
      <c r="D630" s="13" t="inlineStr">
        <is>
          <t>Ram ProMaster 1500</t>
        </is>
      </c>
      <c r="E630" s="13" t="inlineStr">
        <is>
          <t>Anthony Lopez</t>
        </is>
      </c>
      <c r="F630" s="13" t="inlineStr">
        <is>
          <t>anthony@redrockpowersystemsgroup.com</t>
        </is>
      </c>
      <c r="G630" s="13" t="inlineStr">
        <is>
          <t>702-555-3234</t>
        </is>
      </c>
      <c r="H630" s="14" t="inlineStr">
        <is>
          <t>DOT69996</t>
        </is>
      </c>
      <c r="I630" s="16" t="n">
        <v>0.263</v>
      </c>
      <c r="J630" s="13" t="inlineStr">
        <is>
          <t>ProMaster Brake Line Rubbing Collision Abrasion Leak</t>
        </is>
      </c>
      <c r="K630" s="14" t="inlineStr">
        <is>
          <t>Warm Prospect</t>
        </is>
      </c>
      <c r="L630" s="17">
        <f>IF(C630&gt;0, 99 + (C630 * 2.5), 0)</f>
        <v/>
      </c>
    </row>
    <row r="631">
      <c r="A631" s="8" t="inlineStr">
        <is>
          <t>Sunset Electrical Contractors Inc</t>
        </is>
      </c>
      <c r="B631" s="9" t="inlineStr">
        <is>
          <t>Electrical Services</t>
        </is>
      </c>
      <c r="C631" s="10" t="n">
        <v>25</v>
      </c>
      <c r="D631" s="8" t="inlineStr">
        <is>
          <t>Chevy Express 2500</t>
        </is>
      </c>
      <c r="E631" s="8" t="inlineStr">
        <is>
          <t>Charles Jones</t>
        </is>
      </c>
      <c r="F631" s="8" t="inlineStr">
        <is>
          <t>charles@sunsetelectricalcontractorsinc.com</t>
        </is>
      </c>
      <c r="G631" s="8" t="inlineStr">
        <is>
          <t>702-555-2820</t>
        </is>
      </c>
      <c r="H631" s="9" t="inlineStr">
        <is>
          <t>DOT71018</t>
        </is>
      </c>
      <c r="I631" s="11" t="n">
        <v>0.182</v>
      </c>
      <c r="J631" s="8" t="inlineStr">
        <is>
          <t>Express Engine Bay Hose Thermal Crack Hazard</t>
        </is>
      </c>
      <c r="K631" s="9" t="inlineStr">
        <is>
          <t>Warm Prospect</t>
        </is>
      </c>
      <c r="L631" s="12">
        <f>IF(C631&gt;0, 99 + (C631 * 2.5), 0)</f>
        <v/>
      </c>
    </row>
    <row r="632">
      <c r="A632" s="13" t="inlineStr">
        <is>
          <t>Sunset Electrical Contractors Group</t>
        </is>
      </c>
      <c r="B632" s="14" t="inlineStr">
        <is>
          <t>Electrical Services</t>
        </is>
      </c>
      <c r="C632" s="15" t="n">
        <v>53</v>
      </c>
      <c r="D632" s="13" t="inlineStr">
        <is>
          <t>Chevy Express 3500</t>
        </is>
      </c>
      <c r="E632" s="13" t="inlineStr">
        <is>
          <t>Joshua Moore</t>
        </is>
      </c>
      <c r="F632" s="13" t="inlineStr">
        <is>
          <t>joshua@sunsetelectricalcontractorsgroup.com</t>
        </is>
      </c>
      <c r="G632" s="13" t="inlineStr">
        <is>
          <t>702-555-4763</t>
        </is>
      </c>
      <c r="H632" s="14" t="inlineStr">
        <is>
          <t>DOT21334</t>
        </is>
      </c>
      <c r="I632" s="16" t="n">
        <v>0.168</v>
      </c>
      <c r="J632" s="13" t="inlineStr">
        <is>
          <t>Express Engine Bay Hose Thermal Crack Hazard</t>
        </is>
      </c>
      <c r="K632" s="14" t="inlineStr">
        <is>
          <t>Audit Run</t>
        </is>
      </c>
      <c r="L632" s="17">
        <f>IF(C632&gt;0, 99 + (C632 * 2.5), 0)</f>
        <v/>
      </c>
    </row>
    <row r="633">
      <c r="A633" s="8" t="inlineStr">
        <is>
          <t>Summerlin Power Systems Group</t>
        </is>
      </c>
      <c r="B633" s="9" t="inlineStr">
        <is>
          <t>Electrical Services</t>
        </is>
      </c>
      <c r="C633" s="10" t="n">
        <v>128</v>
      </c>
      <c r="D633" s="8" t="inlineStr">
        <is>
          <t>Ram ProMaster 1500</t>
        </is>
      </c>
      <c r="E633" s="8" t="inlineStr">
        <is>
          <t>Charles Smith</t>
        </is>
      </c>
      <c r="F633" s="8" t="inlineStr">
        <is>
          <t>charles@summerlinpowersystemsgroup.com</t>
        </is>
      </c>
      <c r="G633" s="8" t="inlineStr">
        <is>
          <t>702-555-8014</t>
        </is>
      </c>
      <c r="H633" s="9" t="inlineStr">
        <is>
          <t>DOT42329</t>
        </is>
      </c>
      <c r="I633" s="11" t="n">
        <v>0.117</v>
      </c>
      <c r="J633" s="8" t="inlineStr">
        <is>
          <t>ProMaster Brake Line Rubbing Collision Abrasion Leak</t>
        </is>
      </c>
      <c r="K633" s="9" t="inlineStr">
        <is>
          <t>Warm Prospect</t>
        </is>
      </c>
      <c r="L633" s="12">
        <f>IF(C633&gt;0, 99 + (C633 * 2.5), 0)</f>
        <v/>
      </c>
    </row>
    <row r="634">
      <c r="A634" s="13" t="inlineStr">
        <is>
          <t>Sunset Logistics Inc</t>
        </is>
      </c>
      <c r="B634" s="14" t="inlineStr">
        <is>
          <t>Boutique Transit</t>
        </is>
      </c>
      <c r="C634" s="15" t="n">
        <v>11</v>
      </c>
      <c r="D634" s="13" t="inlineStr">
        <is>
          <t>Ford Transit 350</t>
        </is>
      </c>
      <c r="E634" s="13" t="inlineStr">
        <is>
          <t>Mark Johnson</t>
        </is>
      </c>
      <c r="F634" s="13" t="inlineStr">
        <is>
          <t>mark@sunsetlogisticsinc.com</t>
        </is>
      </c>
      <c r="G634" s="13" t="inlineStr">
        <is>
          <t>702-555-1656</t>
        </is>
      </c>
      <c r="H634" s="14" t="inlineStr">
        <is>
          <t>DOT71689</t>
        </is>
      </c>
      <c r="I634" s="16" t="n">
        <v>0.267</v>
      </c>
      <c r="J634" s="13" t="inlineStr">
        <is>
          <t>Transit 114°F Electrical Module Overheat Wire Ground Fire Risk</t>
        </is>
      </c>
      <c r="K634" s="14" t="inlineStr">
        <is>
          <t>Audit Run</t>
        </is>
      </c>
      <c r="L634" s="17">
        <f>IF(C634&gt;0, 99 + (C634 * 2.5), 0)</f>
        <v/>
      </c>
    </row>
    <row r="635">
      <c r="A635" s="8" t="inlineStr">
        <is>
          <t>Titan Plumbing Experts LLC</t>
        </is>
      </c>
      <c r="B635" s="9" t="inlineStr">
        <is>
          <t>HVAC/Plumbing</t>
        </is>
      </c>
      <c r="C635" s="10" t="n">
        <v>35</v>
      </c>
      <c r="D635" s="8" t="inlineStr">
        <is>
          <t>GMC Savana 2500</t>
        </is>
      </c>
      <c r="E635" s="8" t="inlineStr">
        <is>
          <t>Donald Thomas</t>
        </is>
      </c>
      <c r="F635" s="8" t="inlineStr">
        <is>
          <t>donald@titanplumbingexpertsllc.com</t>
        </is>
      </c>
      <c r="G635" s="8" t="inlineStr">
        <is>
          <t>702-555-4940</t>
        </is>
      </c>
      <c r="H635" s="9" t="inlineStr">
        <is>
          <t>DOT20890</t>
        </is>
      </c>
      <c r="I635" s="11" t="n">
        <v>0.213</v>
      </c>
      <c r="J635" s="8" t="inlineStr">
        <is>
          <t>Savana Desert Fuel Line Seal Degradation Failure</t>
        </is>
      </c>
      <c r="K635" s="9" t="inlineStr">
        <is>
          <t>Warm Prospect</t>
        </is>
      </c>
      <c r="L635" s="12">
        <f>IF(C635&gt;0, 99 + (C635 * 2.5), 0)</f>
        <v/>
      </c>
    </row>
    <row r="636">
      <c r="A636" s="13" t="inlineStr">
        <is>
          <t>Clark County Tours &amp; Transit Inc</t>
        </is>
      </c>
      <c r="B636" s="14" t="inlineStr">
        <is>
          <t>Boutique Transit</t>
        </is>
      </c>
      <c r="C636" s="15" t="n">
        <v>101</v>
      </c>
      <c r="D636" s="13" t="inlineStr">
        <is>
          <t>Mercedes-Benz Sprinter 2500</t>
        </is>
      </c>
      <c r="E636" s="13" t="inlineStr">
        <is>
          <t>Christopher Davis</t>
        </is>
      </c>
      <c r="F636" s="13" t="inlineStr">
        <is>
          <t>christopher@clarkcountytourstransitinc.com</t>
        </is>
      </c>
      <c r="G636" s="13" t="inlineStr">
        <is>
          <t>702-555-2486</t>
        </is>
      </c>
      <c r="H636" s="14" t="inlineStr">
        <is>
          <t>DOT12087</t>
        </is>
      </c>
      <c r="I636" s="16" t="n">
        <v>0.189</v>
      </c>
      <c r="J636" s="13" t="inlineStr">
        <is>
          <t>Sprinter AC Comp Condensation Drain Backup Wiring Short</t>
        </is>
      </c>
      <c r="K636" s="14" t="inlineStr">
        <is>
          <t>Warm Prospect</t>
        </is>
      </c>
      <c r="L636" s="17">
        <f>IF(C636&gt;0, 99 + (C636 * 2.5), 0)</f>
        <v/>
      </c>
    </row>
    <row r="637">
      <c r="A637" s="8" t="inlineStr">
        <is>
          <t>Clark County Comfort Heating Group</t>
        </is>
      </c>
      <c r="B637" s="9" t="inlineStr">
        <is>
          <t>HVAC/Plumbing</t>
        </is>
      </c>
      <c r="C637" s="10" t="n">
        <v>16</v>
      </c>
      <c r="D637" s="8" t="inlineStr">
        <is>
          <t>Chevy Express 2500</t>
        </is>
      </c>
      <c r="E637" s="8" t="inlineStr">
        <is>
          <t>Donald Anderson</t>
        </is>
      </c>
      <c r="F637" s="8" t="inlineStr">
        <is>
          <t>donald@clarkcountycomfortheatinggroup.com</t>
        </is>
      </c>
      <c r="G637" s="8" t="inlineStr">
        <is>
          <t>702-555-3271</t>
        </is>
      </c>
      <c r="H637" s="9" t="inlineStr">
        <is>
          <t>DOT63131</t>
        </is>
      </c>
      <c r="I637" s="11" t="n">
        <v>0.097</v>
      </c>
      <c r="J637" s="8" t="inlineStr">
        <is>
          <t>Express Engine Bay Hose Thermal Crack Hazard</t>
        </is>
      </c>
      <c r="K637" s="9" t="inlineStr">
        <is>
          <t>Warm Prospect</t>
        </is>
      </c>
      <c r="L637" s="12">
        <f>IF(C637&gt;0, 99 + (C637 * 2.5), 0)</f>
        <v/>
      </c>
    </row>
    <row r="638">
      <c r="A638" s="13" t="inlineStr">
        <is>
          <t>First Choice Charter Buses Group</t>
        </is>
      </c>
      <c r="B638" s="14" t="inlineStr">
        <is>
          <t>Boutique Transit</t>
        </is>
      </c>
      <c r="C638" s="15" t="n">
        <v>28</v>
      </c>
      <c r="D638" s="13" t="inlineStr">
        <is>
          <t>Mercedes-Benz Sprinter 2500</t>
        </is>
      </c>
      <c r="E638" s="13" t="inlineStr">
        <is>
          <t>Anthony Hernandez</t>
        </is>
      </c>
      <c r="F638" s="13" t="inlineStr">
        <is>
          <t>anthony@firstchoicecharterbusesgroup.com</t>
        </is>
      </c>
      <c r="G638" s="13" t="inlineStr">
        <is>
          <t>702-555-9698</t>
        </is>
      </c>
      <c r="H638" s="14" t="inlineStr">
        <is>
          <t>DOT14287</t>
        </is>
      </c>
      <c r="I638" s="16" t="n">
        <v>0.132</v>
      </c>
      <c r="J638" s="13" t="inlineStr">
        <is>
          <t>Sprinter AC Comp Condensation Drain Backup Wiring Short</t>
        </is>
      </c>
      <c r="K638" s="14" t="inlineStr">
        <is>
          <t>Warm Prospect</t>
        </is>
      </c>
      <c r="L638" s="17">
        <f>IF(C638&gt;0, 99 + (C638 * 2.5), 0)</f>
        <v/>
      </c>
    </row>
    <row r="639">
      <c r="A639" s="8" t="inlineStr">
        <is>
          <t>Las Vegas Logistics Group</t>
        </is>
      </c>
      <c r="B639" s="9" t="inlineStr">
        <is>
          <t>Boutique Transit</t>
        </is>
      </c>
      <c r="C639" s="10" t="n">
        <v>30</v>
      </c>
      <c r="D639" s="8" t="inlineStr">
        <is>
          <t>Mercedes-Benz Sprinter 2500</t>
        </is>
      </c>
      <c r="E639" s="8" t="inlineStr">
        <is>
          <t>Kenneth Hernandez</t>
        </is>
      </c>
      <c r="F639" s="8" t="inlineStr">
        <is>
          <t>kenneth@lasvegaslogisticsgroup.com</t>
        </is>
      </c>
      <c r="G639" s="8" t="inlineStr">
        <is>
          <t>702-555-1898</t>
        </is>
      </c>
      <c r="H639" s="9" t="inlineStr">
        <is>
          <t>DOT77467</t>
        </is>
      </c>
      <c r="I639" s="11" t="n">
        <v>0.333</v>
      </c>
      <c r="J639" s="8" t="inlineStr">
        <is>
          <t>Sprinter AC Comp Condensation Drain Backup Wiring Short</t>
        </is>
      </c>
      <c r="K639" s="9" t="inlineStr">
        <is>
          <t>Warm Prospect</t>
        </is>
      </c>
      <c r="L639" s="12">
        <f>IF(C639&gt;0, 99 + (C639 * 2.5), 0)</f>
        <v/>
      </c>
    </row>
    <row r="640">
      <c r="A640" s="13" t="inlineStr">
        <is>
          <t>Apex Comfort Heating LLC</t>
        </is>
      </c>
      <c r="B640" s="14" t="inlineStr">
        <is>
          <t>HVAC/Plumbing</t>
        </is>
      </c>
      <c r="C640" s="15" t="n">
        <v>20</v>
      </c>
      <c r="D640" s="13" t="inlineStr">
        <is>
          <t>GMC Savana 2500</t>
        </is>
      </c>
      <c r="E640" s="13" t="inlineStr">
        <is>
          <t>Matthew Lopez</t>
        </is>
      </c>
      <c r="F640" s="13" t="inlineStr">
        <is>
          <t>matthew@apexcomfortheatingllc.com</t>
        </is>
      </c>
      <c r="G640" s="13" t="inlineStr">
        <is>
          <t>702-555-3871</t>
        </is>
      </c>
      <c r="H640" s="14" t="inlineStr">
        <is>
          <t>DOT94957</t>
        </is>
      </c>
      <c r="I640" s="16" t="n">
        <v>0.213</v>
      </c>
      <c r="J640" s="13" t="inlineStr">
        <is>
          <t>Savana Desert Fuel Line Seal Degradation Failure</t>
        </is>
      </c>
      <c r="K640" s="14" t="inlineStr">
        <is>
          <t>Warm Prospect</t>
        </is>
      </c>
      <c r="L640" s="17">
        <f>IF(C640&gt;0, 99 + (C640 * 2.5), 0)</f>
        <v/>
      </c>
    </row>
    <row r="641">
      <c r="A641" s="8" t="inlineStr">
        <is>
          <t>Clark County Airport Express Inc</t>
        </is>
      </c>
      <c r="B641" s="9" t="inlineStr">
        <is>
          <t>Boutique Transit</t>
        </is>
      </c>
      <c r="C641" s="10" t="n">
        <v>71</v>
      </c>
      <c r="D641" s="8" t="inlineStr">
        <is>
          <t>Mercedes-Benz Sprinter 3500</t>
        </is>
      </c>
      <c r="E641" s="8" t="inlineStr">
        <is>
          <t>Andrew Brown</t>
        </is>
      </c>
      <c r="F641" s="8" t="inlineStr">
        <is>
          <t>andrew@clarkcountyairportexpressinc.com</t>
        </is>
      </c>
      <c r="G641" s="8" t="inlineStr">
        <is>
          <t>702-555-8839</t>
        </is>
      </c>
      <c r="H641" s="9" t="inlineStr">
        <is>
          <t>DOT86037</t>
        </is>
      </c>
      <c r="I641" s="11" t="n">
        <v>0.31</v>
      </c>
      <c r="J641" s="8" t="inlineStr">
        <is>
          <t>Sprinter AC Comp Condensation Drain Backup Wiring Short</t>
        </is>
      </c>
      <c r="K641" s="9" t="inlineStr">
        <is>
          <t>Warm Prospect</t>
        </is>
      </c>
      <c r="L641" s="12">
        <f>IF(C641&gt;0, 99 + (C641 * 2.5), 0)</f>
        <v/>
      </c>
    </row>
    <row r="642">
      <c r="A642" s="13" t="inlineStr">
        <is>
          <t>Henderson Airport Express LLC</t>
        </is>
      </c>
      <c r="B642" s="14" t="inlineStr">
        <is>
          <t>Boutique Transit</t>
        </is>
      </c>
      <c r="C642" s="15" t="n">
        <v>78</v>
      </c>
      <c r="D642" s="13" t="inlineStr">
        <is>
          <t>Mercedes-Benz Sprinter 3500</t>
        </is>
      </c>
      <c r="E642" s="13" t="inlineStr">
        <is>
          <t>Paul Wilson</t>
        </is>
      </c>
      <c r="F642" s="13" t="inlineStr">
        <is>
          <t>paul@hendersonairportexpressllc.com</t>
        </is>
      </c>
      <c r="G642" s="13" t="inlineStr">
        <is>
          <t>702-555-5540</t>
        </is>
      </c>
      <c r="H642" s="14" t="inlineStr">
        <is>
          <t>DOT17138</t>
        </is>
      </c>
      <c r="I642" s="16" t="n">
        <v>0.06</v>
      </c>
      <c r="J642" s="13" t="inlineStr">
        <is>
          <t>Sprinter AC Comp Condensation Drain Backup Wiring Short</t>
        </is>
      </c>
      <c r="K642" s="14" t="inlineStr">
        <is>
          <t>Warm Prospect</t>
        </is>
      </c>
      <c r="L642" s="17">
        <f>IF(C642&gt;0, 99 + (C642 * 2.5), 0)</f>
        <v/>
      </c>
    </row>
    <row r="643">
      <c r="A643" s="8" t="inlineStr">
        <is>
          <t>First Choice Lighting &amp; Power Group</t>
        </is>
      </c>
      <c r="B643" s="9" t="inlineStr">
        <is>
          <t>Electrical Services</t>
        </is>
      </c>
      <c r="C643" s="10" t="n">
        <v>130</v>
      </c>
      <c r="D643" s="8" t="inlineStr">
        <is>
          <t>Chevy Express 2500</t>
        </is>
      </c>
      <c r="E643" s="8" t="inlineStr">
        <is>
          <t>Andrew Moore</t>
        </is>
      </c>
      <c r="F643" s="8" t="inlineStr">
        <is>
          <t>andrew@firstchoicelightingpowergroup.com</t>
        </is>
      </c>
      <c r="G643" s="8" t="inlineStr">
        <is>
          <t>702-555-5788</t>
        </is>
      </c>
      <c r="H643" s="9" t="inlineStr">
        <is>
          <t>DOT69241</t>
        </is>
      </c>
      <c r="I643" s="11" t="n">
        <v>0.232</v>
      </c>
      <c r="J643" s="8" t="inlineStr">
        <is>
          <t>Express Engine Bay Hose Thermal Crack Hazard</t>
        </is>
      </c>
      <c r="K643" s="9" t="inlineStr">
        <is>
          <t>Warm Prospect</t>
        </is>
      </c>
      <c r="L643" s="12">
        <f>IF(C643&gt;0, 99 + (C643 * 2.5), 0)</f>
        <v/>
      </c>
    </row>
    <row r="644">
      <c r="A644" s="13" t="inlineStr">
        <is>
          <t>Spring Valley Comfort Heating Inc</t>
        </is>
      </c>
      <c r="B644" s="14" t="inlineStr">
        <is>
          <t>HVAC/Plumbing</t>
        </is>
      </c>
      <c r="C644" s="15" t="n">
        <v>110</v>
      </c>
      <c r="D644" s="13" t="inlineStr">
        <is>
          <t>Ford Transit 250</t>
        </is>
      </c>
      <c r="E644" s="13" t="inlineStr">
        <is>
          <t>William Martinez</t>
        </is>
      </c>
      <c r="F644" s="13" t="inlineStr">
        <is>
          <t>william@springvalleycomfortheatinginc.com</t>
        </is>
      </c>
      <c r="G644" s="13" t="inlineStr">
        <is>
          <t>702-555-2260</t>
        </is>
      </c>
      <c r="H644" s="14" t="inlineStr">
        <is>
          <t>DOT24334</t>
        </is>
      </c>
      <c r="I644" s="16" t="n">
        <v>0.091</v>
      </c>
      <c r="J644" s="13" t="inlineStr">
        <is>
          <t>Transit 114°F Electrical Module Overheat Wire Ground Fire Risk</t>
        </is>
      </c>
      <c r="K644" s="14" t="inlineStr">
        <is>
          <t>Warm Prospect</t>
        </is>
      </c>
      <c r="L644" s="17">
        <f>IF(C644&gt;0, 99 + (C644 * 2.5), 0)</f>
        <v/>
      </c>
    </row>
    <row r="645">
      <c r="A645" s="8" t="inlineStr">
        <is>
          <t>Red Rock Tours &amp; Transit Inc</t>
        </is>
      </c>
      <c r="B645" s="9" t="inlineStr">
        <is>
          <t>Boutique Transit</t>
        </is>
      </c>
      <c r="C645" s="10" t="n">
        <v>143</v>
      </c>
      <c r="D645" s="8" t="inlineStr">
        <is>
          <t>Mercedes-Benz Sprinter 2500</t>
        </is>
      </c>
      <c r="E645" s="8" t="inlineStr">
        <is>
          <t>John Martinez</t>
        </is>
      </c>
      <c r="F645" s="8" t="inlineStr">
        <is>
          <t>john@redrocktourstransitinc.com</t>
        </is>
      </c>
      <c r="G645" s="8" t="inlineStr">
        <is>
          <t>702-555-7824</t>
        </is>
      </c>
      <c r="H645" s="9" t="inlineStr">
        <is>
          <t>DOT99443</t>
        </is>
      </c>
      <c r="I645" s="11" t="n">
        <v>0.208</v>
      </c>
      <c r="J645" s="8" t="inlineStr">
        <is>
          <t>Sprinter AC Comp Condensation Drain Backup Wiring Short</t>
        </is>
      </c>
      <c r="K645" s="9" t="inlineStr">
        <is>
          <t>Warm Prospect</t>
        </is>
      </c>
      <c r="L645" s="12">
        <f>IF(C645&gt;0, 99 + (C645 * 2.5), 0)</f>
        <v/>
      </c>
    </row>
    <row r="646">
      <c r="A646" s="13" t="inlineStr">
        <is>
          <t>Valley Wiring Solutions LLC</t>
        </is>
      </c>
      <c r="B646" s="14" t="inlineStr">
        <is>
          <t>Electrical Services</t>
        </is>
      </c>
      <c r="C646" s="15" t="n">
        <v>84</v>
      </c>
      <c r="D646" s="13" t="inlineStr">
        <is>
          <t>Chevy Express 2500</t>
        </is>
      </c>
      <c r="E646" s="13" t="inlineStr">
        <is>
          <t>Richard Williams</t>
        </is>
      </c>
      <c r="F646" s="13" t="inlineStr">
        <is>
          <t>richard@valleywiringsolutionsllc.com</t>
        </is>
      </c>
      <c r="G646" s="13" t="inlineStr">
        <is>
          <t>702-555-1361</t>
        </is>
      </c>
      <c r="H646" s="14" t="inlineStr">
        <is>
          <t>DOT40451</t>
        </is>
      </c>
      <c r="I646" s="16" t="n">
        <v>0.299</v>
      </c>
      <c r="J646" s="13" t="inlineStr">
        <is>
          <t>Express Engine Bay Hose Thermal Crack Hazard</t>
        </is>
      </c>
      <c r="K646" s="14" t="inlineStr">
        <is>
          <t>Audit Run</t>
        </is>
      </c>
      <c r="L646" s="17">
        <f>IF(C646&gt;0, 99 + (C646 * 2.5), 0)</f>
        <v/>
      </c>
    </row>
    <row r="647">
      <c r="A647" s="8" t="inlineStr">
        <is>
          <t>Valley Tours &amp; Transit Group</t>
        </is>
      </c>
      <c r="B647" s="9" t="inlineStr">
        <is>
          <t>Boutique Transit</t>
        </is>
      </c>
      <c r="C647" s="10" t="n">
        <v>93</v>
      </c>
      <c r="D647" s="8" t="inlineStr">
        <is>
          <t>Mercedes-Benz Sprinter 3500</t>
        </is>
      </c>
      <c r="E647" s="8" t="inlineStr">
        <is>
          <t>Steven Jackson</t>
        </is>
      </c>
      <c r="F647" s="8" t="inlineStr">
        <is>
          <t>steven@valleytourstransitgroup.com</t>
        </is>
      </c>
      <c r="G647" s="8" t="inlineStr">
        <is>
          <t>702-555-9686</t>
        </is>
      </c>
      <c r="H647" s="9" t="inlineStr">
        <is>
          <t>DOT81888</t>
        </is>
      </c>
      <c r="I647" s="11" t="n">
        <v>0.178</v>
      </c>
      <c r="J647" s="8" t="inlineStr">
        <is>
          <t>Sprinter AC Comp Condensation Drain Backup Wiring Short</t>
        </is>
      </c>
      <c r="K647" s="9" t="inlineStr">
        <is>
          <t>Warm Prospect</t>
        </is>
      </c>
      <c r="L647" s="12">
        <f>IF(C647&gt;0, 99 + (C647 * 2.5), 0)</f>
        <v/>
      </c>
    </row>
    <row r="648">
      <c r="A648" s="13" t="inlineStr">
        <is>
          <t>Red Rock Chauffeurs Inc</t>
        </is>
      </c>
      <c r="B648" s="14" t="inlineStr">
        <is>
          <t>Boutique Transit</t>
        </is>
      </c>
      <c r="C648" s="15" t="n">
        <v>68</v>
      </c>
      <c r="D648" s="13" t="inlineStr">
        <is>
          <t>Mercedes-Benz Sprinter 3500</t>
        </is>
      </c>
      <c r="E648" s="13" t="inlineStr">
        <is>
          <t>Steven Lopez</t>
        </is>
      </c>
      <c r="F648" s="13" t="inlineStr">
        <is>
          <t>steven@redrockchauffeursinc.com</t>
        </is>
      </c>
      <c r="G648" s="13" t="inlineStr">
        <is>
          <t>702-555-5720</t>
        </is>
      </c>
      <c r="H648" s="14" t="inlineStr">
        <is>
          <t>DOT16202</t>
        </is>
      </c>
      <c r="I648" s="16" t="n">
        <v>0.08599999999999999</v>
      </c>
      <c r="J648" s="13" t="inlineStr">
        <is>
          <t>Sprinter AC Comp Condensation Drain Backup Wiring Short</t>
        </is>
      </c>
      <c r="K648" s="14" t="inlineStr">
        <is>
          <t>Warm Prospect</t>
        </is>
      </c>
      <c r="L648" s="17">
        <f>IF(C648&gt;0, 99 + (C648 * 2.5), 0)</f>
        <v/>
      </c>
    </row>
    <row r="649">
      <c r="A649" s="8" t="inlineStr">
        <is>
          <t>Red Rock Lighting &amp; Power Inc</t>
        </is>
      </c>
      <c r="B649" s="9" t="inlineStr">
        <is>
          <t>Electrical Services</t>
        </is>
      </c>
      <c r="C649" s="10" t="n">
        <v>56</v>
      </c>
      <c r="D649" s="8" t="inlineStr">
        <is>
          <t>Ram ProMaster 2500</t>
        </is>
      </c>
      <c r="E649" s="8" t="inlineStr">
        <is>
          <t>William Jones</t>
        </is>
      </c>
      <c r="F649" s="8" t="inlineStr">
        <is>
          <t>william@redrocklightingpowerinc.com</t>
        </is>
      </c>
      <c r="G649" s="8" t="inlineStr">
        <is>
          <t>702-555-3641</t>
        </is>
      </c>
      <c r="H649" s="9" t="inlineStr">
        <is>
          <t>DOT41182</t>
        </is>
      </c>
      <c r="I649" s="11" t="n">
        <v>0.076</v>
      </c>
      <c r="J649" s="8" t="inlineStr">
        <is>
          <t>ProMaster Brake Line Rubbing Collision Abrasion Leak</t>
        </is>
      </c>
      <c r="K649" s="9" t="inlineStr">
        <is>
          <t>Warm Prospect</t>
        </is>
      </c>
      <c r="L649" s="12">
        <f>IF(C649&gt;0, 99 + (C649 * 2.5), 0)</f>
        <v/>
      </c>
    </row>
    <row r="650">
      <c r="A650" s="13" t="inlineStr">
        <is>
          <t>Red Rock Tours &amp; Transit LLC</t>
        </is>
      </c>
      <c r="B650" s="14" t="inlineStr">
        <is>
          <t>Boutique Transit</t>
        </is>
      </c>
      <c r="C650" s="15" t="n">
        <v>57</v>
      </c>
      <c r="D650" s="13" t="inlineStr">
        <is>
          <t>Mercedes-Benz Sprinter 3500</t>
        </is>
      </c>
      <c r="E650" s="13" t="inlineStr">
        <is>
          <t>Richard Moore</t>
        </is>
      </c>
      <c r="F650" s="13" t="inlineStr">
        <is>
          <t>richard@redrocktourstransitllc.com</t>
        </is>
      </c>
      <c r="G650" s="13" t="inlineStr">
        <is>
          <t>702-555-1568</t>
        </is>
      </c>
      <c r="H650" s="14" t="inlineStr">
        <is>
          <t>DOT97235</t>
        </is>
      </c>
      <c r="I650" s="16" t="n">
        <v>0.138</v>
      </c>
      <c r="J650" s="13" t="inlineStr">
        <is>
          <t>Sprinter AC Comp Condensation Drain Backup Wiring Short</t>
        </is>
      </c>
      <c r="K650" s="14" t="inlineStr">
        <is>
          <t>Warm Prospect</t>
        </is>
      </c>
      <c r="L650" s="17">
        <f>IF(C650&gt;0, 99 + (C650 * 2.5), 0)</f>
        <v/>
      </c>
    </row>
    <row r="651">
      <c r="A651" s="8" t="inlineStr">
        <is>
          <t>Valley Comfort Heating Group</t>
        </is>
      </c>
      <c r="B651" s="9" t="inlineStr">
        <is>
          <t>HVAC/Plumbing</t>
        </is>
      </c>
      <c r="C651" s="10" t="n">
        <v>146</v>
      </c>
      <c r="D651" s="8" t="inlineStr">
        <is>
          <t>Ford Transit 350</t>
        </is>
      </c>
      <c r="E651" s="8" t="inlineStr">
        <is>
          <t>Christopher Brown</t>
        </is>
      </c>
      <c r="F651" s="8" t="inlineStr">
        <is>
          <t>christopher@valleycomfortheatinggroup.com</t>
        </is>
      </c>
      <c r="G651" s="8" t="inlineStr">
        <is>
          <t>702-555-1408</t>
        </is>
      </c>
      <c r="H651" s="9" t="inlineStr">
        <is>
          <t>DOT63026</t>
        </is>
      </c>
      <c r="I651" s="11" t="n">
        <v>0.329</v>
      </c>
      <c r="J651" s="8" t="inlineStr">
        <is>
          <t>Transit 114°F Electrical Module Overheat Wire Ground Fire Risk</t>
        </is>
      </c>
      <c r="K651" s="9" t="inlineStr">
        <is>
          <t>Warm Prospect</t>
        </is>
      </c>
      <c r="L651" s="12">
        <f>IF(C651&gt;0, 99 + (C651 * 2.5), 0)</f>
        <v/>
      </c>
    </row>
    <row r="652">
      <c r="A652" s="13" t="inlineStr">
        <is>
          <t>Spring Valley Electrical Contractors Inc</t>
        </is>
      </c>
      <c r="B652" s="14" t="inlineStr">
        <is>
          <t>Electrical Services</t>
        </is>
      </c>
      <c r="C652" s="15" t="n">
        <v>149</v>
      </c>
      <c r="D652" s="13" t="inlineStr">
        <is>
          <t>Chevy Express 2500</t>
        </is>
      </c>
      <c r="E652" s="13" t="inlineStr">
        <is>
          <t>Paul Hernandez</t>
        </is>
      </c>
      <c r="F652" s="13" t="inlineStr">
        <is>
          <t>paul@springvalleyelectricalcontractorsinc.com</t>
        </is>
      </c>
      <c r="G652" s="13" t="inlineStr">
        <is>
          <t>702-555-5842</t>
        </is>
      </c>
      <c r="H652" s="14" t="inlineStr">
        <is>
          <t>DOT72116</t>
        </is>
      </c>
      <c r="I652" s="16" t="n">
        <v>0.318</v>
      </c>
      <c r="J652" s="13" t="inlineStr">
        <is>
          <t>Express Engine Bay Hose Thermal Crack Hazard</t>
        </is>
      </c>
      <c r="K652" s="14" t="inlineStr">
        <is>
          <t>Audit Run</t>
        </is>
      </c>
      <c r="L652" s="17">
        <f>IF(C652&gt;0, 99 + (C652 * 2.5), 0)</f>
        <v/>
      </c>
    </row>
    <row r="653">
      <c r="A653" s="8" t="inlineStr">
        <is>
          <t>Red Rock Logistics Group</t>
        </is>
      </c>
      <c r="B653" s="9" t="inlineStr">
        <is>
          <t>Boutique Transit</t>
        </is>
      </c>
      <c r="C653" s="10" t="n">
        <v>96</v>
      </c>
      <c r="D653" s="8" t="inlineStr">
        <is>
          <t>Mercedes-Benz Sprinter 3500</t>
        </is>
      </c>
      <c r="E653" s="8" t="inlineStr">
        <is>
          <t>Robert Thomas</t>
        </is>
      </c>
      <c r="F653" s="8" t="inlineStr">
        <is>
          <t>robert@redrocklogisticsgroup.com</t>
        </is>
      </c>
      <c r="G653" s="8" t="inlineStr">
        <is>
          <t>702-555-1656</t>
        </is>
      </c>
      <c r="H653" s="9" t="inlineStr">
        <is>
          <t>DOT28274</t>
        </is>
      </c>
      <c r="I653" s="11" t="n">
        <v>0.25</v>
      </c>
      <c r="J653" s="8" t="inlineStr">
        <is>
          <t>Sprinter AC Comp Condensation Drain Backup Wiring Short</t>
        </is>
      </c>
      <c r="K653" s="9" t="inlineStr">
        <is>
          <t>Warm Prospect</t>
        </is>
      </c>
      <c r="L653" s="12">
        <f>IF(C653&gt;0, 99 + (C653 * 2.5), 0)</f>
        <v/>
      </c>
    </row>
    <row r="654">
      <c r="A654" s="13" t="inlineStr">
        <is>
          <t>Silver State Wiring Solutions Group</t>
        </is>
      </c>
      <c r="B654" s="14" t="inlineStr">
        <is>
          <t>Electrical Services</t>
        </is>
      </c>
      <c r="C654" s="15" t="n">
        <v>124</v>
      </c>
      <c r="D654" s="13" t="inlineStr">
        <is>
          <t>Chevy Express 3500</t>
        </is>
      </c>
      <c r="E654" s="13" t="inlineStr">
        <is>
          <t>Matthew Williams</t>
        </is>
      </c>
      <c r="F654" s="13" t="inlineStr">
        <is>
          <t>matthew@silverstatewiringsolutionsgroup.com</t>
        </is>
      </c>
      <c r="G654" s="13" t="inlineStr">
        <is>
          <t>702-555-6347</t>
        </is>
      </c>
      <c r="H654" s="14" t="inlineStr">
        <is>
          <t>DOT17213</t>
        </is>
      </c>
      <c r="I654" s="16" t="n">
        <v>0.229</v>
      </c>
      <c r="J654" s="13" t="inlineStr">
        <is>
          <t>Express Engine Bay Hose Thermal Crack Hazard</t>
        </is>
      </c>
      <c r="K654" s="14" t="inlineStr">
        <is>
          <t>Warm Prospect</t>
        </is>
      </c>
      <c r="L654" s="17">
        <f>IF(C654&gt;0, 99 + (C654 * 2.5), 0)</f>
        <v/>
      </c>
    </row>
    <row r="655">
      <c r="A655" s="8" t="inlineStr">
        <is>
          <t>High Rise Airport Express LLC</t>
        </is>
      </c>
      <c r="B655" s="9" t="inlineStr">
        <is>
          <t>Boutique Transit</t>
        </is>
      </c>
      <c r="C655" s="10" t="n">
        <v>15</v>
      </c>
      <c r="D655" s="8" t="inlineStr">
        <is>
          <t>Mercedes-Benz Sprinter 2500</t>
        </is>
      </c>
      <c r="E655" s="8" t="inlineStr">
        <is>
          <t>James Moore</t>
        </is>
      </c>
      <c r="F655" s="8" t="inlineStr">
        <is>
          <t>james@highriseairportexpressllc.com</t>
        </is>
      </c>
      <c r="G655" s="8" t="inlineStr">
        <is>
          <t>702-555-8298</t>
        </is>
      </c>
      <c r="H655" s="9" t="inlineStr">
        <is>
          <t>DOT98744</t>
        </is>
      </c>
      <c r="I655" s="11" t="n">
        <v>0.248</v>
      </c>
      <c r="J655" s="8" t="inlineStr">
        <is>
          <t>Sprinter AC Comp Condensation Drain Backup Wiring Short</t>
        </is>
      </c>
      <c r="K655" s="9" t="inlineStr">
        <is>
          <t>Warm Prospect</t>
        </is>
      </c>
      <c r="L655" s="12">
        <f>IF(C655&gt;0, 99 + (C655 * 2.5), 0)</f>
        <v/>
      </c>
    </row>
    <row r="656">
      <c r="A656" s="13" t="inlineStr">
        <is>
          <t>Titan Airport Express LLC</t>
        </is>
      </c>
      <c r="B656" s="14" t="inlineStr">
        <is>
          <t>Boutique Transit</t>
        </is>
      </c>
      <c r="C656" s="15" t="n">
        <v>140</v>
      </c>
      <c r="D656" s="13" t="inlineStr">
        <is>
          <t>Mercedes-Benz Sprinter 3500</t>
        </is>
      </c>
      <c r="E656" s="13" t="inlineStr">
        <is>
          <t>Michael Lopez</t>
        </is>
      </c>
      <c r="F656" s="13" t="inlineStr">
        <is>
          <t>michael@titanairportexpressllc.com</t>
        </is>
      </c>
      <c r="G656" s="13" t="inlineStr">
        <is>
          <t>702-555-7513</t>
        </is>
      </c>
      <c r="H656" s="14" t="inlineStr">
        <is>
          <t>DOT29391</t>
        </is>
      </c>
      <c r="I656" s="16" t="n">
        <v>0.262</v>
      </c>
      <c r="J656" s="13" t="inlineStr">
        <is>
          <t>Sprinter AC Comp Condensation Drain Backup Wiring Short</t>
        </is>
      </c>
      <c r="K656" s="14" t="inlineStr">
        <is>
          <t>Warm Prospect</t>
        </is>
      </c>
      <c r="L656" s="17">
        <f>IF(C656&gt;0, 99 + (C656 * 2.5), 0)</f>
        <v/>
      </c>
    </row>
    <row r="657">
      <c r="A657" s="8" t="inlineStr">
        <is>
          <t>Titan Electrical Contractors Inc</t>
        </is>
      </c>
      <c r="B657" s="9" t="inlineStr">
        <is>
          <t>Electrical Services</t>
        </is>
      </c>
      <c r="C657" s="10" t="n">
        <v>98</v>
      </c>
      <c r="D657" s="8" t="inlineStr">
        <is>
          <t>Ram ProMaster 2500</t>
        </is>
      </c>
      <c r="E657" s="8" t="inlineStr">
        <is>
          <t>Matthew Martinez</t>
        </is>
      </c>
      <c r="F657" s="8" t="inlineStr">
        <is>
          <t>matthew@titanelectricalcontractorsinc.com</t>
        </is>
      </c>
      <c r="G657" s="8" t="inlineStr">
        <is>
          <t>702-555-8300</t>
        </is>
      </c>
      <c r="H657" s="9" t="inlineStr">
        <is>
          <t>DOT83535</t>
        </is>
      </c>
      <c r="I657" s="11" t="n">
        <v>0.067</v>
      </c>
      <c r="J657" s="8" t="inlineStr">
        <is>
          <t>ProMaster Brake Line Rubbing Collision Abrasion Leak</t>
        </is>
      </c>
      <c r="K657" s="9" t="inlineStr">
        <is>
          <t>Warm Prospect</t>
        </is>
      </c>
      <c r="L657" s="12">
        <f>IF(C657&gt;0, 99 + (C657 * 2.5), 0)</f>
        <v/>
      </c>
    </row>
    <row r="658">
      <c r="A658" s="13" t="inlineStr">
        <is>
          <t>Titan Tours &amp; Transit LLC</t>
        </is>
      </c>
      <c r="B658" s="14" t="inlineStr">
        <is>
          <t>Boutique Transit</t>
        </is>
      </c>
      <c r="C658" s="15" t="n">
        <v>118</v>
      </c>
      <c r="D658" s="13" t="inlineStr">
        <is>
          <t>Mercedes-Benz Sprinter 2500</t>
        </is>
      </c>
      <c r="E658" s="13" t="inlineStr">
        <is>
          <t>Mark Jones</t>
        </is>
      </c>
      <c r="F658" s="13" t="inlineStr">
        <is>
          <t>mark@titantourstransitllc.com</t>
        </is>
      </c>
      <c r="G658" s="13" t="inlineStr">
        <is>
          <t>702-555-2410</t>
        </is>
      </c>
      <c r="H658" s="14" t="inlineStr">
        <is>
          <t>DOT28827</t>
        </is>
      </c>
      <c r="I658" s="16" t="n">
        <v>0.104</v>
      </c>
      <c r="J658" s="13" t="inlineStr">
        <is>
          <t>Sprinter AC Comp Condensation Drain Backup Wiring Short</t>
        </is>
      </c>
      <c r="K658" s="14" t="inlineStr">
        <is>
          <t>Warm Prospect</t>
        </is>
      </c>
      <c r="L658" s="17">
        <f>IF(C658&gt;0, 99 + (C658 * 2.5), 0)</f>
        <v/>
      </c>
    </row>
    <row r="659">
      <c r="A659" s="8" t="inlineStr">
        <is>
          <t>Valley Shuttles Group</t>
        </is>
      </c>
      <c r="B659" s="9" t="inlineStr">
        <is>
          <t>Boutique Transit</t>
        </is>
      </c>
      <c r="C659" s="10" t="n">
        <v>32</v>
      </c>
      <c r="D659" s="8" t="inlineStr">
        <is>
          <t>Mercedes-Benz Sprinter 3500</t>
        </is>
      </c>
      <c r="E659" s="8" t="inlineStr">
        <is>
          <t>John Wilson</t>
        </is>
      </c>
      <c r="F659" s="8" t="inlineStr">
        <is>
          <t>john@valleyshuttlesgroup.com</t>
        </is>
      </c>
      <c r="G659" s="8" t="inlineStr">
        <is>
          <t>702-555-5478</t>
        </is>
      </c>
      <c r="H659" s="9" t="inlineStr">
        <is>
          <t>DOT64331</t>
        </is>
      </c>
      <c r="I659" s="11" t="n">
        <v>0.094</v>
      </c>
      <c r="J659" s="8" t="inlineStr">
        <is>
          <t>Sprinter AC Comp Condensation Drain Backup Wiring Short</t>
        </is>
      </c>
      <c r="K659" s="9" t="inlineStr">
        <is>
          <t>Warm Prospect</t>
        </is>
      </c>
      <c r="L659" s="12">
        <f>IF(C659&gt;0, 99 + (C659 * 2.5), 0)</f>
        <v/>
      </c>
    </row>
    <row r="660">
      <c r="A660" s="13" t="inlineStr">
        <is>
          <t>Las Vegas Airport Express Inc</t>
        </is>
      </c>
      <c r="B660" s="14" t="inlineStr">
        <is>
          <t>Boutique Transit</t>
        </is>
      </c>
      <c r="C660" s="15" t="n">
        <v>107</v>
      </c>
      <c r="D660" s="13" t="inlineStr">
        <is>
          <t>Mercedes-Benz Sprinter 2500</t>
        </is>
      </c>
      <c r="E660" s="13" t="inlineStr">
        <is>
          <t>Christopher Moore</t>
        </is>
      </c>
      <c r="F660" s="13" t="inlineStr">
        <is>
          <t>christopher@lasvegasairportexpressinc.com</t>
        </is>
      </c>
      <c r="G660" s="13" t="inlineStr">
        <is>
          <t>702-555-9037</t>
        </is>
      </c>
      <c r="H660" s="14" t="inlineStr">
        <is>
          <t>DOT15535</t>
        </is>
      </c>
      <c r="I660" s="16" t="n">
        <v>0.295</v>
      </c>
      <c r="J660" s="13" t="inlineStr">
        <is>
          <t>Sprinter AC Comp Condensation Drain Backup Wiring Short</t>
        </is>
      </c>
      <c r="K660" s="14" t="inlineStr">
        <is>
          <t>Warm Prospect</t>
        </is>
      </c>
      <c r="L660" s="17">
        <f>IF(C660&gt;0, 99 + (C660 * 2.5), 0)</f>
        <v/>
      </c>
    </row>
    <row r="661">
      <c r="A661" s="8" t="inlineStr">
        <is>
          <t>Mojave Tours &amp; Transit Group</t>
        </is>
      </c>
      <c r="B661" s="9" t="inlineStr">
        <is>
          <t>Boutique Transit</t>
        </is>
      </c>
      <c r="C661" s="10" t="n">
        <v>128</v>
      </c>
      <c r="D661" s="8" t="inlineStr">
        <is>
          <t>Ford Transit 350</t>
        </is>
      </c>
      <c r="E661" s="8" t="inlineStr">
        <is>
          <t>Thomas Smith</t>
        </is>
      </c>
      <c r="F661" s="8" t="inlineStr">
        <is>
          <t>thomas@mojavetourstransitgroup.com</t>
        </is>
      </c>
      <c r="G661" s="8" t="inlineStr">
        <is>
          <t>702-555-1040</t>
        </is>
      </c>
      <c r="H661" s="9" t="inlineStr">
        <is>
          <t>DOT30188</t>
        </is>
      </c>
      <c r="I661" s="11" t="n">
        <v>0.121</v>
      </c>
      <c r="J661" s="8" t="inlineStr">
        <is>
          <t>Transit 114°F Electrical Module Overheat Wire Ground Fire Risk</t>
        </is>
      </c>
      <c r="K661" s="9" t="inlineStr">
        <is>
          <t>Warm Prospect</t>
        </is>
      </c>
      <c r="L661" s="12">
        <f>IF(C661&gt;0, 99 + (C661 * 2.5), 0)</f>
        <v/>
      </c>
    </row>
    <row r="662">
      <c r="A662" s="13" t="inlineStr">
        <is>
          <t>Vegas Valley Mechanical Services LLC</t>
        </is>
      </c>
      <c r="B662" s="14" t="inlineStr">
        <is>
          <t>HVAC/Plumbing</t>
        </is>
      </c>
      <c r="C662" s="15" t="n">
        <v>55</v>
      </c>
      <c r="D662" s="13" t="inlineStr">
        <is>
          <t>GMC Savana 2500</t>
        </is>
      </c>
      <c r="E662" s="13" t="inlineStr">
        <is>
          <t>Steven Davis</t>
        </is>
      </c>
      <c r="F662" s="13" t="inlineStr">
        <is>
          <t>steven@vegasvalleymechanicalservicesllc.com</t>
        </is>
      </c>
      <c r="G662" s="13" t="inlineStr">
        <is>
          <t>702-555-1466</t>
        </is>
      </c>
      <c r="H662" s="14" t="inlineStr">
        <is>
          <t>DOT25644</t>
        </is>
      </c>
      <c r="I662" s="16" t="n">
        <v>0.277</v>
      </c>
      <c r="J662" s="13" t="inlineStr">
        <is>
          <t>Savana Desert Fuel Line Seal Degradation Failure</t>
        </is>
      </c>
      <c r="K662" s="14" t="inlineStr">
        <is>
          <t>Warm Prospect</t>
        </is>
      </c>
      <c r="L662" s="17">
        <f>IF(C662&gt;0, 99 + (C662 * 2.5), 0)</f>
        <v/>
      </c>
    </row>
    <row r="663">
      <c r="A663" s="8" t="inlineStr">
        <is>
          <t>Las Vegas Mechanical Services LLC</t>
        </is>
      </c>
      <c r="B663" s="9" t="inlineStr">
        <is>
          <t>HVAC/Plumbing</t>
        </is>
      </c>
      <c r="C663" s="10" t="n">
        <v>133</v>
      </c>
      <c r="D663" s="8" t="inlineStr">
        <is>
          <t>Chevy Express 2500</t>
        </is>
      </c>
      <c r="E663" s="8" t="inlineStr">
        <is>
          <t>Joshua Wilson</t>
        </is>
      </c>
      <c r="F663" s="8" t="inlineStr">
        <is>
          <t>joshua@lasvegasmechanicalservicesllc.com</t>
        </is>
      </c>
      <c r="G663" s="8" t="inlineStr">
        <is>
          <t>702-555-5225</t>
        </is>
      </c>
      <c r="H663" s="9" t="inlineStr">
        <is>
          <t>DOT92312</t>
        </is>
      </c>
      <c r="I663" s="11" t="n">
        <v>0.253</v>
      </c>
      <c r="J663" s="8" t="inlineStr">
        <is>
          <t>Express Engine Bay Hose Thermal Crack Hazard</t>
        </is>
      </c>
      <c r="K663" s="9" t="inlineStr">
        <is>
          <t>Warm Prospect</t>
        </is>
      </c>
      <c r="L663" s="12">
        <f>IF(C663&gt;0, 99 + (C663 * 2.5), 0)</f>
        <v/>
      </c>
    </row>
    <row r="664">
      <c r="A664" s="13" t="inlineStr">
        <is>
          <t>High Rise Electric Pros Group</t>
        </is>
      </c>
      <c r="B664" s="14" t="inlineStr">
        <is>
          <t>Electrical Services</t>
        </is>
      </c>
      <c r="C664" s="15" t="n">
        <v>76</v>
      </c>
      <c r="D664" s="13" t="inlineStr">
        <is>
          <t>Chevy Express 2500</t>
        </is>
      </c>
      <c r="E664" s="13" t="inlineStr">
        <is>
          <t>William Jackson</t>
        </is>
      </c>
      <c r="F664" s="13" t="inlineStr">
        <is>
          <t>william@highriseelectricprosgroup.com</t>
        </is>
      </c>
      <c r="G664" s="13" t="inlineStr">
        <is>
          <t>702-555-1958</t>
        </is>
      </c>
      <c r="H664" s="14" t="inlineStr">
        <is>
          <t>DOT29154</t>
        </is>
      </c>
      <c r="I664" s="16" t="n">
        <v>0.139</v>
      </c>
      <c r="J664" s="13" t="inlineStr">
        <is>
          <t>Express Engine Bay Hose Thermal Crack Hazard</t>
        </is>
      </c>
      <c r="K664" s="14" t="inlineStr">
        <is>
          <t>Warm Prospect</t>
        </is>
      </c>
      <c r="L664" s="17">
        <f>IF(C664&gt;0, 99 + (C664 * 2.5), 0)</f>
        <v/>
      </c>
    </row>
    <row r="665">
      <c r="A665" s="8" t="inlineStr">
        <is>
          <t>Red Rock Electric &amp; Solar LLC</t>
        </is>
      </c>
      <c r="B665" s="9" t="inlineStr">
        <is>
          <t>Electrical Services</t>
        </is>
      </c>
      <c r="C665" s="10" t="n">
        <v>117</v>
      </c>
      <c r="D665" s="8" t="inlineStr">
        <is>
          <t>Ram ProMaster 2500</t>
        </is>
      </c>
      <c r="E665" s="8" t="inlineStr">
        <is>
          <t>Matthew Johnson</t>
        </is>
      </c>
      <c r="F665" s="8" t="inlineStr">
        <is>
          <t>matthew@redrockelectricsolarllc.com</t>
        </is>
      </c>
      <c r="G665" s="8" t="inlineStr">
        <is>
          <t>702-555-5749</t>
        </is>
      </c>
      <c r="H665" s="9" t="inlineStr">
        <is>
          <t>DOT48228</t>
        </is>
      </c>
      <c r="I665" s="11" t="n">
        <v>0.204</v>
      </c>
      <c r="J665" s="8" t="inlineStr">
        <is>
          <t>ProMaster Brake Line Rubbing Collision Abrasion Leak</t>
        </is>
      </c>
      <c r="K665" s="9" t="inlineStr">
        <is>
          <t>Warm Prospect</t>
        </is>
      </c>
      <c r="L665" s="12">
        <f>IF(C665&gt;0, 99 + (C665 * 2.5), 0)</f>
        <v/>
      </c>
    </row>
    <row r="666">
      <c r="A666" s="13" t="inlineStr">
        <is>
          <t>Sunset Charter Buses Inc</t>
        </is>
      </c>
      <c r="B666" s="14" t="inlineStr">
        <is>
          <t>Boutique Transit</t>
        </is>
      </c>
      <c r="C666" s="15" t="n">
        <v>52</v>
      </c>
      <c r="D666" s="13" t="inlineStr">
        <is>
          <t>Mercedes-Benz Sprinter 2500</t>
        </is>
      </c>
      <c r="E666" s="13" t="inlineStr">
        <is>
          <t>Andrew Hernandez</t>
        </is>
      </c>
      <c r="F666" s="13" t="inlineStr">
        <is>
          <t>andrew@sunsetcharterbusesinc.com</t>
        </is>
      </c>
      <c r="G666" s="13" t="inlineStr">
        <is>
          <t>702-555-6180</t>
        </is>
      </c>
      <c r="H666" s="14" t="inlineStr">
        <is>
          <t>DOT99780</t>
        </is>
      </c>
      <c r="I666" s="16" t="n">
        <v>0.288</v>
      </c>
      <c r="J666" s="13" t="inlineStr">
        <is>
          <t>Sprinter AC Comp Condensation Drain Backup Wiring Short</t>
        </is>
      </c>
      <c r="K666" s="14" t="inlineStr">
        <is>
          <t>Warm Prospect</t>
        </is>
      </c>
      <c r="L666" s="17">
        <f>IF(C666&gt;0, 99 + (C666 * 2.5), 0)</f>
        <v/>
      </c>
    </row>
    <row r="667">
      <c r="A667" s="8" t="inlineStr">
        <is>
          <t>Clark County Charter Buses LLC</t>
        </is>
      </c>
      <c r="B667" s="9" t="inlineStr">
        <is>
          <t>Boutique Transit</t>
        </is>
      </c>
      <c r="C667" s="10" t="n">
        <v>146</v>
      </c>
      <c r="D667" s="8" t="inlineStr">
        <is>
          <t>Mercedes-Benz Sprinter 2500</t>
        </is>
      </c>
      <c r="E667" s="8" t="inlineStr">
        <is>
          <t>Joshua Lopez</t>
        </is>
      </c>
      <c r="F667" s="8" t="inlineStr">
        <is>
          <t>joshua@clarkcountycharterbusesllc.com</t>
        </is>
      </c>
      <c r="G667" s="8" t="inlineStr">
        <is>
          <t>702-555-3354</t>
        </is>
      </c>
      <c r="H667" s="9" t="inlineStr">
        <is>
          <t>DOT11690</t>
        </is>
      </c>
      <c r="I667" s="11" t="n">
        <v>0.082</v>
      </c>
      <c r="J667" s="8" t="inlineStr">
        <is>
          <t>Sprinter AC Comp Condensation Drain Backup Wiring Short</t>
        </is>
      </c>
      <c r="K667" s="9" t="inlineStr">
        <is>
          <t>Warm Prospect</t>
        </is>
      </c>
      <c r="L667" s="12">
        <f>IF(C667&gt;0, 99 + (C667 * 2.5), 0)</f>
        <v/>
      </c>
    </row>
    <row r="668">
      <c r="A668" s="13" t="inlineStr">
        <is>
          <t>Henderson Wiring Solutions LLC</t>
        </is>
      </c>
      <c r="B668" s="14" t="inlineStr">
        <is>
          <t>Electrical Services</t>
        </is>
      </c>
      <c r="C668" s="15" t="n">
        <v>51</v>
      </c>
      <c r="D668" s="13" t="inlineStr">
        <is>
          <t>Ram ProMaster 2500</t>
        </is>
      </c>
      <c r="E668" s="13" t="inlineStr">
        <is>
          <t>Robert Miller</t>
        </is>
      </c>
      <c r="F668" s="13" t="inlineStr">
        <is>
          <t>robert@hendersonwiringsolutionsllc.com</t>
        </is>
      </c>
      <c r="G668" s="13" t="inlineStr">
        <is>
          <t>702-555-3532</t>
        </is>
      </c>
      <c r="H668" s="14" t="inlineStr">
        <is>
          <t>DOT75979</t>
        </is>
      </c>
      <c r="I668" s="16" t="n">
        <v>0.109</v>
      </c>
      <c r="J668" s="13" t="inlineStr">
        <is>
          <t>ProMaster Brake Line Rubbing Collision Abrasion Leak</t>
        </is>
      </c>
      <c r="K668" s="14" t="inlineStr">
        <is>
          <t>Warm Prospect</t>
        </is>
      </c>
      <c r="L668" s="17">
        <f>IF(C668&gt;0, 99 + (C668 * 2.5), 0)</f>
        <v/>
      </c>
    </row>
    <row r="669">
      <c r="A669" s="8" t="inlineStr">
        <is>
          <t>Las Vegas Charter Buses Group</t>
        </is>
      </c>
      <c r="B669" s="9" t="inlineStr">
        <is>
          <t>Boutique Transit</t>
        </is>
      </c>
      <c r="C669" s="10" t="n">
        <v>39</v>
      </c>
      <c r="D669" s="8" t="inlineStr">
        <is>
          <t>Ford Transit 350</t>
        </is>
      </c>
      <c r="E669" s="8" t="inlineStr">
        <is>
          <t>Mark Anderson</t>
        </is>
      </c>
      <c r="F669" s="8" t="inlineStr">
        <is>
          <t>mark@lasvegascharterbusesgroup.com</t>
        </is>
      </c>
      <c r="G669" s="8" t="inlineStr">
        <is>
          <t>702-555-2251</t>
        </is>
      </c>
      <c r="H669" s="9" t="inlineStr">
        <is>
          <t>DOT25278</t>
        </is>
      </c>
      <c r="I669" s="11" t="n">
        <v>0.294</v>
      </c>
      <c r="J669" s="8" t="inlineStr">
        <is>
          <t>Transit 114°F Electrical Module Overheat Wire Ground Fire Risk</t>
        </is>
      </c>
      <c r="K669" s="9" t="inlineStr">
        <is>
          <t>Warm Prospect</t>
        </is>
      </c>
      <c r="L669" s="12">
        <f>IF(C669&gt;0, 99 + (C669 * 2.5), 0)</f>
        <v/>
      </c>
    </row>
    <row r="670">
      <c r="A670" s="13" t="inlineStr">
        <is>
          <t>Valley Electrical Contractors Group</t>
        </is>
      </c>
      <c r="B670" s="14" t="inlineStr">
        <is>
          <t>Electrical Services</t>
        </is>
      </c>
      <c r="C670" s="15" t="n">
        <v>45</v>
      </c>
      <c r="D670" s="13" t="inlineStr">
        <is>
          <t>Ram ProMaster 2500</t>
        </is>
      </c>
      <c r="E670" s="13" t="inlineStr">
        <is>
          <t>Donald Martin</t>
        </is>
      </c>
      <c r="F670" s="13" t="inlineStr">
        <is>
          <t>donald@valleyelectricalcontractorsgroup.com</t>
        </is>
      </c>
      <c r="G670" s="13" t="inlineStr">
        <is>
          <t>702-555-9570</t>
        </is>
      </c>
      <c r="H670" s="14" t="inlineStr">
        <is>
          <t>DOT54832</t>
        </is>
      </c>
      <c r="I670" s="16" t="n">
        <v>0.093</v>
      </c>
      <c r="J670" s="13" t="inlineStr">
        <is>
          <t>ProMaster Brake Line Rubbing Collision Abrasion Leak</t>
        </is>
      </c>
      <c r="K670" s="14" t="inlineStr">
        <is>
          <t>Warm Prospect</t>
        </is>
      </c>
      <c r="L670" s="17">
        <f>IF(C670&gt;0, 99 + (C670 * 2.5), 0)</f>
        <v/>
      </c>
    </row>
    <row r="671">
      <c r="A671" s="8" t="inlineStr">
        <is>
          <t>Clark County Air Conditioning Inc</t>
        </is>
      </c>
      <c r="B671" s="9" t="inlineStr">
        <is>
          <t>HVAC/Plumbing</t>
        </is>
      </c>
      <c r="C671" s="10" t="n">
        <v>46</v>
      </c>
      <c r="D671" s="8" t="inlineStr">
        <is>
          <t>Ford Transit 350</t>
        </is>
      </c>
      <c r="E671" s="8" t="inlineStr">
        <is>
          <t>Thomas Martinez</t>
        </is>
      </c>
      <c r="F671" s="8" t="inlineStr">
        <is>
          <t>thomas@clarkcountyairconditioninginc.com</t>
        </is>
      </c>
      <c r="G671" s="8" t="inlineStr">
        <is>
          <t>702-555-3053</t>
        </is>
      </c>
      <c r="H671" s="9" t="inlineStr">
        <is>
          <t>DOT37504</t>
        </is>
      </c>
      <c r="I671" s="11" t="n">
        <v>0.08</v>
      </c>
      <c r="J671" s="8" t="inlineStr">
        <is>
          <t>Transit 114°F Electrical Module Overheat Wire Ground Fire Risk</t>
        </is>
      </c>
      <c r="K671" s="9" t="inlineStr">
        <is>
          <t>Warm Prospect</t>
        </is>
      </c>
      <c r="L671" s="12">
        <f>IF(C671&gt;0, 99 + (C671 * 2.5), 0)</f>
        <v/>
      </c>
    </row>
    <row r="672">
      <c r="A672" s="13" t="inlineStr">
        <is>
          <t>Clark County Electric &amp; Solar Inc</t>
        </is>
      </c>
      <c r="B672" s="14" t="inlineStr">
        <is>
          <t>Electrical Services</t>
        </is>
      </c>
      <c r="C672" s="15" t="n">
        <v>133</v>
      </c>
      <c r="D672" s="13" t="inlineStr">
        <is>
          <t>Chevy Express 2500</t>
        </is>
      </c>
      <c r="E672" s="13" t="inlineStr">
        <is>
          <t>Mark Johnson</t>
        </is>
      </c>
      <c r="F672" s="13" t="inlineStr">
        <is>
          <t>mark@clarkcountyelectricsolarinc.com</t>
        </is>
      </c>
      <c r="G672" s="13" t="inlineStr">
        <is>
          <t>702-555-4217</t>
        </is>
      </c>
      <c r="H672" s="14" t="inlineStr">
        <is>
          <t>DOT24131</t>
        </is>
      </c>
      <c r="I672" s="16" t="n">
        <v>0.05</v>
      </c>
      <c r="J672" s="13" t="inlineStr">
        <is>
          <t>Express Engine Bay Hose Thermal Crack Hazard</t>
        </is>
      </c>
      <c r="K672" s="14" t="inlineStr">
        <is>
          <t>Audit Run</t>
        </is>
      </c>
      <c r="L672" s="17">
        <f>IF(C672&gt;0, 99 + (C672 * 2.5), 0)</f>
        <v/>
      </c>
    </row>
    <row r="673">
      <c r="A673" s="8" t="inlineStr">
        <is>
          <t>Silver State Tours &amp; Transit Inc</t>
        </is>
      </c>
      <c r="B673" s="9" t="inlineStr">
        <is>
          <t>Boutique Transit</t>
        </is>
      </c>
      <c r="C673" s="10" t="n">
        <v>21</v>
      </c>
      <c r="D673" s="8" t="inlineStr">
        <is>
          <t>Mercedes-Benz Sprinter 3500</t>
        </is>
      </c>
      <c r="E673" s="8" t="inlineStr">
        <is>
          <t>James Martinez</t>
        </is>
      </c>
      <c r="F673" s="8" t="inlineStr">
        <is>
          <t>james@silverstatetourstransitinc.com</t>
        </is>
      </c>
      <c r="G673" s="8" t="inlineStr">
        <is>
          <t>702-555-1168</t>
        </is>
      </c>
      <c r="H673" s="9" t="inlineStr">
        <is>
          <t>DOT22648</t>
        </is>
      </c>
      <c r="I673" s="11" t="n">
        <v>0.283</v>
      </c>
      <c r="J673" s="8" t="inlineStr">
        <is>
          <t>Sprinter AC Comp Condensation Drain Backup Wiring Short</t>
        </is>
      </c>
      <c r="K673" s="9" t="inlineStr">
        <is>
          <t>Audit Run</t>
        </is>
      </c>
      <c r="L673" s="12">
        <f>IF(C673&gt;0, 99 + (C673 * 2.5), 0)</f>
        <v/>
      </c>
    </row>
    <row r="674">
      <c r="A674" s="13" t="inlineStr">
        <is>
          <t>Las Vegas Plumbing &amp; Drain Inc</t>
        </is>
      </c>
      <c r="B674" s="14" t="inlineStr">
        <is>
          <t>HVAC/Plumbing</t>
        </is>
      </c>
      <c r="C674" s="15" t="n">
        <v>17</v>
      </c>
      <c r="D674" s="13" t="inlineStr">
        <is>
          <t>Ford Transit 150</t>
        </is>
      </c>
      <c r="E674" s="13" t="inlineStr">
        <is>
          <t>James Jones</t>
        </is>
      </c>
      <c r="F674" s="13" t="inlineStr">
        <is>
          <t>james@lasvegasplumbingdraininc.com</t>
        </is>
      </c>
      <c r="G674" s="13" t="inlineStr">
        <is>
          <t>702-555-5544</t>
        </is>
      </c>
      <c r="H674" s="14" t="inlineStr">
        <is>
          <t>DOT85989</t>
        </is>
      </c>
      <c r="I674" s="16" t="n">
        <v>0.148</v>
      </c>
      <c r="J674" s="13" t="inlineStr">
        <is>
          <t>Transit 114°F Electrical Module Overheat Wire Ground Fire Risk</t>
        </is>
      </c>
      <c r="K674" s="14" t="inlineStr">
        <is>
          <t>Warm Prospect</t>
        </is>
      </c>
      <c r="L674" s="17">
        <f>IF(C674&gt;0, 99 + (C674 * 2.5), 0)</f>
        <v/>
      </c>
    </row>
    <row r="675">
      <c r="A675" s="8" t="inlineStr">
        <is>
          <t>Henderson Charter Buses Group</t>
        </is>
      </c>
      <c r="B675" s="9" t="inlineStr">
        <is>
          <t>Boutique Transit</t>
        </is>
      </c>
      <c r="C675" s="10" t="n">
        <v>139</v>
      </c>
      <c r="D675" s="8" t="inlineStr">
        <is>
          <t>Mercedes-Benz Sprinter 2500</t>
        </is>
      </c>
      <c r="E675" s="8" t="inlineStr">
        <is>
          <t>Joshua Williams</t>
        </is>
      </c>
      <c r="F675" s="8" t="inlineStr">
        <is>
          <t>joshua@hendersoncharterbusesgroup.com</t>
        </is>
      </c>
      <c r="G675" s="8" t="inlineStr">
        <is>
          <t>702-555-2623</t>
        </is>
      </c>
      <c r="H675" s="9" t="inlineStr">
        <is>
          <t>DOT85777</t>
        </is>
      </c>
      <c r="I675" s="11" t="n">
        <v>0.277</v>
      </c>
      <c r="J675" s="8" t="inlineStr">
        <is>
          <t>Sprinter AC Comp Condensation Drain Backup Wiring Short</t>
        </is>
      </c>
      <c r="K675" s="9" t="inlineStr">
        <is>
          <t>Audit Run</t>
        </is>
      </c>
      <c r="L675" s="12">
        <f>IF(C675&gt;0, 99 + (C675 * 2.5), 0)</f>
        <v/>
      </c>
    </row>
    <row r="676">
      <c r="A676" s="13" t="inlineStr">
        <is>
          <t>Clark County Plumbing &amp; Drain LLC</t>
        </is>
      </c>
      <c r="B676" s="14" t="inlineStr">
        <is>
          <t>HVAC/Plumbing</t>
        </is>
      </c>
      <c r="C676" s="15" t="n">
        <v>147</v>
      </c>
      <c r="D676" s="13" t="inlineStr">
        <is>
          <t>Ford Transit 350</t>
        </is>
      </c>
      <c r="E676" s="13" t="inlineStr">
        <is>
          <t>John Brown</t>
        </is>
      </c>
      <c r="F676" s="13" t="inlineStr">
        <is>
          <t>john@clarkcountyplumbingdrainllc.com</t>
        </is>
      </c>
      <c r="G676" s="13" t="inlineStr">
        <is>
          <t>702-555-4506</t>
        </is>
      </c>
      <c r="H676" s="14" t="inlineStr">
        <is>
          <t>DOT76085</t>
        </is>
      </c>
      <c r="I676" s="16" t="n">
        <v>0.304</v>
      </c>
      <c r="J676" s="13" t="inlineStr">
        <is>
          <t>Transit 114°F Electrical Module Overheat Wire Ground Fire Risk</t>
        </is>
      </c>
      <c r="K676" s="14" t="inlineStr">
        <is>
          <t>Warm Prospect</t>
        </is>
      </c>
      <c r="L676" s="17">
        <f>IF(C676&gt;0, 99 + (C676 * 2.5), 0)</f>
        <v/>
      </c>
    </row>
    <row r="677">
      <c r="A677" s="8" t="inlineStr">
        <is>
          <t>Clark County Lighting &amp; Power Inc</t>
        </is>
      </c>
      <c r="B677" s="9" t="inlineStr">
        <is>
          <t>Electrical Services</t>
        </is>
      </c>
      <c r="C677" s="10" t="n">
        <v>37</v>
      </c>
      <c r="D677" s="8" t="inlineStr">
        <is>
          <t>Ram ProMaster 1500</t>
        </is>
      </c>
      <c r="E677" s="8" t="inlineStr">
        <is>
          <t>William Lopez</t>
        </is>
      </c>
      <c r="F677" s="8" t="inlineStr">
        <is>
          <t>william@clarkcountylightingpowerinc.com</t>
        </is>
      </c>
      <c r="G677" s="8" t="inlineStr">
        <is>
          <t>702-555-7219</t>
        </is>
      </c>
      <c r="H677" s="9" t="inlineStr">
        <is>
          <t>DOT65586</t>
        </is>
      </c>
      <c r="I677" s="11" t="n">
        <v>0.106</v>
      </c>
      <c r="J677" s="8" t="inlineStr">
        <is>
          <t>ProMaster Brake Line Rubbing Collision Abrasion Leak</t>
        </is>
      </c>
      <c r="K677" s="9" t="inlineStr">
        <is>
          <t>Warm Prospect</t>
        </is>
      </c>
      <c r="L677" s="12">
        <f>IF(C677&gt;0, 99 + (C677 * 2.5), 0)</f>
        <v/>
      </c>
    </row>
    <row r="678">
      <c r="A678" s="13" t="inlineStr">
        <is>
          <t>Apex Electrical Contractors Inc</t>
        </is>
      </c>
      <c r="B678" s="14" t="inlineStr">
        <is>
          <t>Electrical Services</t>
        </is>
      </c>
      <c r="C678" s="15" t="n">
        <v>38</v>
      </c>
      <c r="D678" s="13" t="inlineStr">
        <is>
          <t>Ram ProMaster 1500</t>
        </is>
      </c>
      <c r="E678" s="13" t="inlineStr">
        <is>
          <t>Paul Jones</t>
        </is>
      </c>
      <c r="F678" s="13" t="inlineStr">
        <is>
          <t>paul@apexelectricalcontractorsinc.com</t>
        </is>
      </c>
      <c r="G678" s="13" t="inlineStr">
        <is>
          <t>702-555-9123</t>
        </is>
      </c>
      <c r="H678" s="14" t="inlineStr">
        <is>
          <t>DOT57349</t>
        </is>
      </c>
      <c r="I678" s="16" t="n">
        <v>0.258</v>
      </c>
      <c r="J678" s="13" t="inlineStr">
        <is>
          <t>ProMaster Brake Line Rubbing Collision Abrasion Leak</t>
        </is>
      </c>
      <c r="K678" s="14" t="inlineStr">
        <is>
          <t>Audit Run</t>
        </is>
      </c>
      <c r="L678" s="17">
        <f>IF(C678&gt;0, 99 + (C678 * 2.5), 0)</f>
        <v/>
      </c>
    </row>
    <row r="679">
      <c r="A679" s="8" t="inlineStr">
        <is>
          <t>Silver State Shuttles LLC</t>
        </is>
      </c>
      <c r="B679" s="9" t="inlineStr">
        <is>
          <t>Boutique Transit</t>
        </is>
      </c>
      <c r="C679" s="10" t="n">
        <v>39</v>
      </c>
      <c r="D679" s="8" t="inlineStr">
        <is>
          <t>Mercedes-Benz Sprinter 3500</t>
        </is>
      </c>
      <c r="E679" s="8" t="inlineStr">
        <is>
          <t>Anthony Martinez</t>
        </is>
      </c>
      <c r="F679" s="8" t="inlineStr">
        <is>
          <t>anthony@silverstateshuttlesllc.com</t>
        </is>
      </c>
      <c r="G679" s="8" t="inlineStr">
        <is>
          <t>702-555-8486</t>
        </is>
      </c>
      <c r="H679" s="9" t="inlineStr">
        <is>
          <t>DOT88694</t>
        </is>
      </c>
      <c r="I679" s="11" t="n">
        <v>0.268</v>
      </c>
      <c r="J679" s="8" t="inlineStr">
        <is>
          <t>Sprinter AC Comp Condensation Drain Backup Wiring Short</t>
        </is>
      </c>
      <c r="K679" s="9" t="inlineStr">
        <is>
          <t>Warm Prospect</t>
        </is>
      </c>
      <c r="L679" s="12">
        <f>IF(C679&gt;0, 99 + (C679 * 2.5), 0)</f>
        <v/>
      </c>
    </row>
    <row r="680">
      <c r="A680" s="13" t="inlineStr">
        <is>
          <t>High Rise Comfort Heating LLC</t>
        </is>
      </c>
      <c r="B680" s="14" t="inlineStr">
        <is>
          <t>HVAC/Plumbing</t>
        </is>
      </c>
      <c r="C680" s="15" t="n">
        <v>58</v>
      </c>
      <c r="D680" s="13" t="inlineStr">
        <is>
          <t>GMC Savana 2500</t>
        </is>
      </c>
      <c r="E680" s="13" t="inlineStr">
        <is>
          <t>James Thomas</t>
        </is>
      </c>
      <c r="F680" s="13" t="inlineStr">
        <is>
          <t>james@highrisecomfortheatingllc.com</t>
        </is>
      </c>
      <c r="G680" s="13" t="inlineStr">
        <is>
          <t>702-555-7020</t>
        </is>
      </c>
      <c r="H680" s="14" t="inlineStr">
        <is>
          <t>DOT33500</t>
        </is>
      </c>
      <c r="I680" s="16" t="n">
        <v>0.044</v>
      </c>
      <c r="J680" s="13" t="inlineStr">
        <is>
          <t>Savana Desert Fuel Line Seal Degradation Failure</t>
        </is>
      </c>
      <c r="K680" s="14" t="inlineStr">
        <is>
          <t>Warm Prospect</t>
        </is>
      </c>
      <c r="L680" s="17">
        <f>IF(C680&gt;0, 99 + (C680 * 2.5), 0)</f>
        <v/>
      </c>
    </row>
    <row r="681">
      <c r="A681" s="8" t="inlineStr">
        <is>
          <t>Apex Tours &amp; Transit LLC</t>
        </is>
      </c>
      <c r="B681" s="9" t="inlineStr">
        <is>
          <t>Boutique Transit</t>
        </is>
      </c>
      <c r="C681" s="10" t="n">
        <v>31</v>
      </c>
      <c r="D681" s="8" t="inlineStr">
        <is>
          <t>Ford Transit 350</t>
        </is>
      </c>
      <c r="E681" s="8" t="inlineStr">
        <is>
          <t>Robert Jones</t>
        </is>
      </c>
      <c r="F681" s="8" t="inlineStr">
        <is>
          <t>robert@apextourstransitllc.com</t>
        </is>
      </c>
      <c r="G681" s="8" t="inlineStr">
        <is>
          <t>702-555-7468</t>
        </is>
      </c>
      <c r="H681" s="9" t="inlineStr">
        <is>
          <t>DOT62510</t>
        </is>
      </c>
      <c r="I681" s="11" t="n">
        <v>0.255</v>
      </c>
      <c r="J681" s="8" t="inlineStr">
        <is>
          <t>Transit 114°F Electrical Module Overheat Wire Ground Fire Risk</t>
        </is>
      </c>
      <c r="K681" s="9" t="inlineStr">
        <is>
          <t>Warm Prospect</t>
        </is>
      </c>
      <c r="L681" s="12">
        <f>IF(C681&gt;0, 99 + (C681 * 2.5), 0)</f>
        <v/>
      </c>
    </row>
    <row r="682">
      <c r="A682" s="13" t="inlineStr">
        <is>
          <t>Spring Valley Airport Express Inc</t>
        </is>
      </c>
      <c r="B682" s="14" t="inlineStr">
        <is>
          <t>Boutique Transit</t>
        </is>
      </c>
      <c r="C682" s="15" t="n">
        <v>60</v>
      </c>
      <c r="D682" s="13" t="inlineStr">
        <is>
          <t>Mercedes-Benz Sprinter 3500</t>
        </is>
      </c>
      <c r="E682" s="13" t="inlineStr">
        <is>
          <t>Daniel Miller</t>
        </is>
      </c>
      <c r="F682" s="13" t="inlineStr">
        <is>
          <t>daniel@springvalleyairportexpressinc.com</t>
        </is>
      </c>
      <c r="G682" s="13" t="inlineStr">
        <is>
          <t>702-555-7623</t>
        </is>
      </c>
      <c r="H682" s="14" t="inlineStr">
        <is>
          <t>DOT26090</t>
        </is>
      </c>
      <c r="I682" s="16" t="n">
        <v>0.112</v>
      </c>
      <c r="J682" s="13" t="inlineStr">
        <is>
          <t>Sprinter AC Comp Condensation Drain Backup Wiring Short</t>
        </is>
      </c>
      <c r="K682" s="14" t="inlineStr">
        <is>
          <t>Warm Prospect</t>
        </is>
      </c>
      <c r="L682" s="17">
        <f>IF(C682&gt;0, 99 + (C682 * 2.5), 0)</f>
        <v/>
      </c>
    </row>
    <row r="683">
      <c r="A683" s="8" t="inlineStr">
        <is>
          <t>First Choice Chauffeurs Group</t>
        </is>
      </c>
      <c r="B683" s="9" t="inlineStr">
        <is>
          <t>Boutique Transit</t>
        </is>
      </c>
      <c r="C683" s="10" t="n">
        <v>79</v>
      </c>
      <c r="D683" s="8" t="inlineStr">
        <is>
          <t>Ford Transit 350</t>
        </is>
      </c>
      <c r="E683" s="8" t="inlineStr">
        <is>
          <t>Anthony Lopez</t>
        </is>
      </c>
      <c r="F683" s="8" t="inlineStr">
        <is>
          <t>anthony@firstchoicechauffeursgroup.com</t>
        </is>
      </c>
      <c r="G683" s="8" t="inlineStr">
        <is>
          <t>702-555-8795</t>
        </is>
      </c>
      <c r="H683" s="9" t="inlineStr">
        <is>
          <t>DOT97382</t>
        </is>
      </c>
      <c r="I683" s="11" t="n">
        <v>0.227</v>
      </c>
      <c r="J683" s="8" t="inlineStr">
        <is>
          <t>Transit 114°F Electrical Module Overheat Wire Ground Fire Risk</t>
        </is>
      </c>
      <c r="K683" s="9" t="inlineStr">
        <is>
          <t>Warm Prospect</t>
        </is>
      </c>
      <c r="L683" s="12">
        <f>IF(C683&gt;0, 99 + (C683 * 2.5), 0)</f>
        <v/>
      </c>
    </row>
    <row r="684">
      <c r="A684" s="13" t="inlineStr">
        <is>
          <t>High Rise Electrical Contractors Inc</t>
        </is>
      </c>
      <c r="B684" s="14" t="inlineStr">
        <is>
          <t>Electrical Services</t>
        </is>
      </c>
      <c r="C684" s="15" t="n">
        <v>37</v>
      </c>
      <c r="D684" s="13" t="inlineStr">
        <is>
          <t>Ram ProMaster 1500</t>
        </is>
      </c>
      <c r="E684" s="13" t="inlineStr">
        <is>
          <t>Robert Rodriguez</t>
        </is>
      </c>
      <c r="F684" s="13" t="inlineStr">
        <is>
          <t>robert@highriseelectricalcontractorsinc.com</t>
        </is>
      </c>
      <c r="G684" s="13" t="inlineStr">
        <is>
          <t>702-555-9017</t>
        </is>
      </c>
      <c r="H684" s="14" t="inlineStr">
        <is>
          <t>DOT75178</t>
        </is>
      </c>
      <c r="I684" s="16" t="n">
        <v>0.112</v>
      </c>
      <c r="J684" s="13" t="inlineStr">
        <is>
          <t>ProMaster Brake Line Rubbing Collision Abrasion Leak</t>
        </is>
      </c>
      <c r="K684" s="14" t="inlineStr">
        <is>
          <t>Warm Prospect</t>
        </is>
      </c>
      <c r="L684" s="17">
        <f>IF(C684&gt;0, 99 + (C684 * 2.5), 0)</f>
        <v/>
      </c>
    </row>
    <row r="685">
      <c r="A685" s="8" t="inlineStr">
        <is>
          <t>Apex Mechanical Services Inc</t>
        </is>
      </c>
      <c r="B685" s="9" t="inlineStr">
        <is>
          <t>HVAC/Plumbing</t>
        </is>
      </c>
      <c r="C685" s="10" t="n">
        <v>137</v>
      </c>
      <c r="D685" s="8" t="inlineStr">
        <is>
          <t>Ford Transit 250</t>
        </is>
      </c>
      <c r="E685" s="8" t="inlineStr">
        <is>
          <t>John Garcia</t>
        </is>
      </c>
      <c r="F685" s="8" t="inlineStr">
        <is>
          <t>john@apexmechanicalservicesinc.com</t>
        </is>
      </c>
      <c r="G685" s="8" t="inlineStr">
        <is>
          <t>702-555-7269</t>
        </is>
      </c>
      <c r="H685" s="9" t="inlineStr">
        <is>
          <t>DOT89244</t>
        </is>
      </c>
      <c r="I685" s="11" t="n">
        <v>0.251</v>
      </c>
      <c r="J685" s="8" t="inlineStr">
        <is>
          <t>Transit 114°F Electrical Module Overheat Wire Ground Fire Risk</t>
        </is>
      </c>
      <c r="K685" s="9" t="inlineStr">
        <is>
          <t>Warm Prospect</t>
        </is>
      </c>
      <c r="L685" s="12">
        <f>IF(C685&gt;0, 99 + (C685 * 2.5), 0)</f>
        <v/>
      </c>
    </row>
    <row r="686">
      <c r="A686" s="13" t="inlineStr">
        <is>
          <t>Las Vegas Lighting &amp; Power Inc</t>
        </is>
      </c>
      <c r="B686" s="14" t="inlineStr">
        <is>
          <t>Electrical Services</t>
        </is>
      </c>
      <c r="C686" s="15" t="n">
        <v>143</v>
      </c>
      <c r="D686" s="13" t="inlineStr">
        <is>
          <t>Chevy Express 2500</t>
        </is>
      </c>
      <c r="E686" s="13" t="inlineStr">
        <is>
          <t>Steven Anderson</t>
        </is>
      </c>
      <c r="F686" s="13" t="inlineStr">
        <is>
          <t>steven@lasvegaslightingpowerinc.com</t>
        </is>
      </c>
      <c r="G686" s="13" t="inlineStr">
        <is>
          <t>702-555-4308</t>
        </is>
      </c>
      <c r="H686" s="14" t="inlineStr">
        <is>
          <t>DOT48477</t>
        </is>
      </c>
      <c r="I686" s="16" t="n">
        <v>0.245</v>
      </c>
      <c r="J686" s="13" t="inlineStr">
        <is>
          <t>Express Engine Bay Hose Thermal Crack Hazard</t>
        </is>
      </c>
      <c r="K686" s="14" t="inlineStr">
        <is>
          <t>Warm Prospect</t>
        </is>
      </c>
      <c r="L686" s="17">
        <f>IF(C686&gt;0, 99 + (C686 * 2.5), 0)</f>
        <v/>
      </c>
    </row>
    <row r="687">
      <c r="A687" s="8" t="inlineStr">
        <is>
          <t>Mojave Logistics LLC</t>
        </is>
      </c>
      <c r="B687" s="9" t="inlineStr">
        <is>
          <t>Boutique Transit</t>
        </is>
      </c>
      <c r="C687" s="10" t="n">
        <v>149</v>
      </c>
      <c r="D687" s="8" t="inlineStr">
        <is>
          <t>Ford Transit 350</t>
        </is>
      </c>
      <c r="E687" s="8" t="inlineStr">
        <is>
          <t>John Johnson</t>
        </is>
      </c>
      <c r="F687" s="8" t="inlineStr">
        <is>
          <t>john@mojavelogisticsllc.com</t>
        </is>
      </c>
      <c r="G687" s="8" t="inlineStr">
        <is>
          <t>702-555-8051</t>
        </is>
      </c>
      <c r="H687" s="9" t="inlineStr">
        <is>
          <t>DOT25615</t>
        </is>
      </c>
      <c r="I687" s="11" t="n">
        <v>0.159</v>
      </c>
      <c r="J687" s="8" t="inlineStr">
        <is>
          <t>Transit 114°F Electrical Module Overheat Wire Ground Fire Risk</t>
        </is>
      </c>
      <c r="K687" s="9" t="inlineStr">
        <is>
          <t>Warm Prospect</t>
        </is>
      </c>
      <c r="L687" s="12">
        <f>IF(C687&gt;0, 99 + (C687 * 2.5), 0)</f>
        <v/>
      </c>
    </row>
    <row r="688">
      <c r="A688" s="13" t="inlineStr">
        <is>
          <t>First Choice Wiring Solutions Inc</t>
        </is>
      </c>
      <c r="B688" s="14" t="inlineStr">
        <is>
          <t>Electrical Services</t>
        </is>
      </c>
      <c r="C688" s="15" t="n">
        <v>55</v>
      </c>
      <c r="D688" s="13" t="inlineStr">
        <is>
          <t>Chevy Express 2500</t>
        </is>
      </c>
      <c r="E688" s="13" t="inlineStr">
        <is>
          <t>Andrew Martinez</t>
        </is>
      </c>
      <c r="F688" s="13" t="inlineStr">
        <is>
          <t>andrew@firstchoicewiringsolutionsinc.com</t>
        </is>
      </c>
      <c r="G688" s="13" t="inlineStr">
        <is>
          <t>702-555-3689</t>
        </is>
      </c>
      <c r="H688" s="14" t="inlineStr">
        <is>
          <t>DOT74419</t>
        </is>
      </c>
      <c r="I688" s="16" t="n">
        <v>0.174</v>
      </c>
      <c r="J688" s="13" t="inlineStr">
        <is>
          <t>Express Engine Bay Hose Thermal Crack Hazard</t>
        </is>
      </c>
      <c r="K688" s="14" t="inlineStr">
        <is>
          <t>Warm Prospect</t>
        </is>
      </c>
      <c r="L688" s="17">
        <f>IF(C688&gt;0, 99 + (C688 * 2.5), 0)</f>
        <v/>
      </c>
    </row>
    <row r="689">
      <c r="A689" s="8" t="inlineStr">
        <is>
          <t>Titan Tours &amp; Transit Inc</t>
        </is>
      </c>
      <c r="B689" s="9" t="inlineStr">
        <is>
          <t>Boutique Transit</t>
        </is>
      </c>
      <c r="C689" s="10" t="n">
        <v>135</v>
      </c>
      <c r="D689" s="8" t="inlineStr">
        <is>
          <t>Ford Transit 350</t>
        </is>
      </c>
      <c r="E689" s="8" t="inlineStr">
        <is>
          <t>Andrew Moore</t>
        </is>
      </c>
      <c r="F689" s="8" t="inlineStr">
        <is>
          <t>andrew@titantourstransitinc.com</t>
        </is>
      </c>
      <c r="G689" s="8" t="inlineStr">
        <is>
          <t>702-555-8697</t>
        </is>
      </c>
      <c r="H689" s="9" t="inlineStr">
        <is>
          <t>DOT72378</t>
        </is>
      </c>
      <c r="I689" s="11" t="n">
        <v>0.214</v>
      </c>
      <c r="J689" s="8" t="inlineStr">
        <is>
          <t>Transit 114°F Electrical Module Overheat Wire Ground Fire Risk</t>
        </is>
      </c>
      <c r="K689" s="9" t="inlineStr">
        <is>
          <t>Warm Prospect</t>
        </is>
      </c>
      <c r="L689" s="12">
        <f>IF(C689&gt;0, 99 + (C689 * 2.5), 0)</f>
        <v/>
      </c>
    </row>
    <row r="690">
      <c r="A690" s="13" t="inlineStr">
        <is>
          <t>Silver State Tours &amp; Transit LLC</t>
        </is>
      </c>
      <c r="B690" s="14" t="inlineStr">
        <is>
          <t>Boutique Transit</t>
        </is>
      </c>
      <c r="C690" s="15" t="n">
        <v>106</v>
      </c>
      <c r="D690" s="13" t="inlineStr">
        <is>
          <t>Mercedes-Benz Sprinter 3500</t>
        </is>
      </c>
      <c r="E690" s="13" t="inlineStr">
        <is>
          <t>Kenneth Lopez</t>
        </is>
      </c>
      <c r="F690" s="13" t="inlineStr">
        <is>
          <t>kenneth@silverstatetourstransitllc.com</t>
        </is>
      </c>
      <c r="G690" s="13" t="inlineStr">
        <is>
          <t>702-555-5660</t>
        </is>
      </c>
      <c r="H690" s="14" t="inlineStr">
        <is>
          <t>DOT52006</t>
        </is>
      </c>
      <c r="I690" s="16" t="n">
        <v>0.059</v>
      </c>
      <c r="J690" s="13" t="inlineStr">
        <is>
          <t>Sprinter AC Comp Condensation Drain Backup Wiring Short</t>
        </is>
      </c>
      <c r="K690" s="14" t="inlineStr">
        <is>
          <t>Audit Run</t>
        </is>
      </c>
      <c r="L690" s="17">
        <f>IF(C690&gt;0, 99 + (C690 * 2.5), 0)</f>
        <v/>
      </c>
    </row>
    <row r="691">
      <c r="A691" s="8" t="inlineStr">
        <is>
          <t>Red Rock HVAC Services LLC</t>
        </is>
      </c>
      <c r="B691" s="9" t="inlineStr">
        <is>
          <t>HVAC/Plumbing</t>
        </is>
      </c>
      <c r="C691" s="10" t="n">
        <v>16</v>
      </c>
      <c r="D691" s="8" t="inlineStr">
        <is>
          <t>Chevy Express 2500</t>
        </is>
      </c>
      <c r="E691" s="8" t="inlineStr">
        <is>
          <t>Daniel Gonzalez</t>
        </is>
      </c>
      <c r="F691" s="8" t="inlineStr">
        <is>
          <t>daniel@redrockhvacservicesllc.com</t>
        </is>
      </c>
      <c r="G691" s="8" t="inlineStr">
        <is>
          <t>702-555-2594</t>
        </is>
      </c>
      <c r="H691" s="9" t="inlineStr">
        <is>
          <t>DOT66118</t>
        </is>
      </c>
      <c r="I691" s="11" t="n">
        <v>0.147</v>
      </c>
      <c r="J691" s="8" t="inlineStr">
        <is>
          <t>Express Engine Bay Hose Thermal Crack Hazard</t>
        </is>
      </c>
      <c r="K691" s="9" t="inlineStr">
        <is>
          <t>Warm Prospect</t>
        </is>
      </c>
      <c r="L691" s="12">
        <f>IF(C691&gt;0, 99 + (C691 * 2.5), 0)</f>
        <v/>
      </c>
    </row>
    <row r="692">
      <c r="A692" s="13" t="inlineStr">
        <is>
          <t>Valley Electric &amp; Solar Group</t>
        </is>
      </c>
      <c r="B692" s="14" t="inlineStr">
        <is>
          <t>Electrical Services</t>
        </is>
      </c>
      <c r="C692" s="15" t="n">
        <v>73</v>
      </c>
      <c r="D692" s="13" t="inlineStr">
        <is>
          <t>Chevy Express 3500</t>
        </is>
      </c>
      <c r="E692" s="13" t="inlineStr">
        <is>
          <t>Thomas Martinez</t>
        </is>
      </c>
      <c r="F692" s="13" t="inlineStr">
        <is>
          <t>thomas@valleyelectricsolargroup.com</t>
        </is>
      </c>
      <c r="G692" s="13" t="inlineStr">
        <is>
          <t>702-555-2391</t>
        </is>
      </c>
      <c r="H692" s="14" t="inlineStr">
        <is>
          <t>DOT18585</t>
        </is>
      </c>
      <c r="I692" s="16" t="n">
        <v>0.309</v>
      </c>
      <c r="J692" s="13" t="inlineStr">
        <is>
          <t>Express Engine Bay Hose Thermal Crack Hazard</t>
        </is>
      </c>
      <c r="K692" s="14" t="inlineStr">
        <is>
          <t>Warm Prospect</t>
        </is>
      </c>
      <c r="L692" s="17">
        <f>IF(C692&gt;0, 99 + (C692 * 2.5), 0)</f>
        <v/>
      </c>
    </row>
    <row r="693">
      <c r="A693" s="8" t="inlineStr">
        <is>
          <t>Red Rock Electric &amp; Solar Group</t>
        </is>
      </c>
      <c r="B693" s="9" t="inlineStr">
        <is>
          <t>Electrical Services</t>
        </is>
      </c>
      <c r="C693" s="10" t="n">
        <v>19</v>
      </c>
      <c r="D693" s="8" t="inlineStr">
        <is>
          <t>Ram ProMaster 2500</t>
        </is>
      </c>
      <c r="E693" s="8" t="inlineStr">
        <is>
          <t>Donald Wilson</t>
        </is>
      </c>
      <c r="F693" s="8" t="inlineStr">
        <is>
          <t>donald@redrockelectricsolargroup.com</t>
        </is>
      </c>
      <c r="G693" s="8" t="inlineStr">
        <is>
          <t>702-555-9433</t>
        </is>
      </c>
      <c r="H693" s="9" t="inlineStr">
        <is>
          <t>DOT65203</t>
        </is>
      </c>
      <c r="I693" s="11" t="n">
        <v>0.123</v>
      </c>
      <c r="J693" s="8" t="inlineStr">
        <is>
          <t>ProMaster Brake Line Rubbing Collision Abrasion Leak</t>
        </is>
      </c>
      <c r="K693" s="9" t="inlineStr">
        <is>
          <t>Warm Prospect</t>
        </is>
      </c>
      <c r="L693" s="12">
        <f>IF(C693&gt;0, 99 + (C693 * 2.5), 0)</f>
        <v/>
      </c>
    </row>
    <row r="694">
      <c r="A694" s="13" t="inlineStr">
        <is>
          <t>Silver State Chauffeurs LLC</t>
        </is>
      </c>
      <c r="B694" s="14" t="inlineStr">
        <is>
          <t>Boutique Transit</t>
        </is>
      </c>
      <c r="C694" s="15" t="n">
        <v>109</v>
      </c>
      <c r="D694" s="13" t="inlineStr">
        <is>
          <t>Ford Transit 350</t>
        </is>
      </c>
      <c r="E694" s="13" t="inlineStr">
        <is>
          <t>Daniel Jackson</t>
        </is>
      </c>
      <c r="F694" s="13" t="inlineStr">
        <is>
          <t>daniel@silverstatechauffeursllc.com</t>
        </is>
      </c>
      <c r="G694" s="13" t="inlineStr">
        <is>
          <t>702-555-2601</t>
        </is>
      </c>
      <c r="H694" s="14" t="inlineStr">
        <is>
          <t>DOT74010</t>
        </is>
      </c>
      <c r="I694" s="16" t="n">
        <v>0.07099999999999999</v>
      </c>
      <c r="J694" s="13" t="inlineStr">
        <is>
          <t>Transit 114°F Electrical Module Overheat Wire Ground Fire Risk</t>
        </is>
      </c>
      <c r="K694" s="14" t="inlineStr">
        <is>
          <t>Warm Prospect</t>
        </is>
      </c>
      <c r="L694" s="17">
        <f>IF(C694&gt;0, 99 + (C694 * 2.5), 0)</f>
        <v/>
      </c>
    </row>
    <row r="695">
      <c r="A695" s="8" t="inlineStr">
        <is>
          <t>First Choice Lighting &amp; Power Group</t>
        </is>
      </c>
      <c r="B695" s="9" t="inlineStr">
        <is>
          <t>Electrical Services</t>
        </is>
      </c>
      <c r="C695" s="10" t="n">
        <v>52</v>
      </c>
      <c r="D695" s="8" t="inlineStr">
        <is>
          <t>Ram ProMaster 2500</t>
        </is>
      </c>
      <c r="E695" s="8" t="inlineStr">
        <is>
          <t>Kenneth Martinez</t>
        </is>
      </c>
      <c r="F695" s="8" t="inlineStr">
        <is>
          <t>kenneth@firstchoicelightingpowergroup.com</t>
        </is>
      </c>
      <c r="G695" s="8" t="inlineStr">
        <is>
          <t>702-555-6952</t>
        </is>
      </c>
      <c r="H695" s="9" t="inlineStr">
        <is>
          <t>DOT67146</t>
        </is>
      </c>
      <c r="I695" s="11" t="n">
        <v>0.103</v>
      </c>
      <c r="J695" s="8" t="inlineStr">
        <is>
          <t>ProMaster Brake Line Rubbing Collision Abrasion Leak</t>
        </is>
      </c>
      <c r="K695" s="9" t="inlineStr">
        <is>
          <t>Warm Prospect</t>
        </is>
      </c>
      <c r="L695" s="12">
        <f>IF(C695&gt;0, 99 + (C695 * 2.5), 0)</f>
        <v/>
      </c>
    </row>
    <row r="696">
      <c r="A696" s="13" t="inlineStr">
        <is>
          <t>Sunset Chauffeurs LLC</t>
        </is>
      </c>
      <c r="B696" s="14" t="inlineStr">
        <is>
          <t>Boutique Transit</t>
        </is>
      </c>
      <c r="C696" s="15" t="n">
        <v>86</v>
      </c>
      <c r="D696" s="13" t="inlineStr">
        <is>
          <t>Mercedes-Benz Sprinter 2500</t>
        </is>
      </c>
      <c r="E696" s="13" t="inlineStr">
        <is>
          <t>Joshua Gonzalez</t>
        </is>
      </c>
      <c r="F696" s="13" t="inlineStr">
        <is>
          <t>joshua@sunsetchauffeursllc.com</t>
        </is>
      </c>
      <c r="G696" s="13" t="inlineStr">
        <is>
          <t>702-555-4700</t>
        </is>
      </c>
      <c r="H696" s="14" t="inlineStr">
        <is>
          <t>DOT91863</t>
        </is>
      </c>
      <c r="I696" s="16" t="n">
        <v>0.27</v>
      </c>
      <c r="J696" s="13" t="inlineStr">
        <is>
          <t>Sprinter AC Comp Condensation Drain Backup Wiring Short</t>
        </is>
      </c>
      <c r="K696" s="14" t="inlineStr">
        <is>
          <t>Warm Prospect</t>
        </is>
      </c>
      <c r="L696" s="17">
        <f>IF(C696&gt;0, 99 + (C696 * 2.5), 0)</f>
        <v/>
      </c>
    </row>
    <row r="697">
      <c r="A697" s="8" t="inlineStr">
        <is>
          <t>Summerlin Logistics Inc</t>
        </is>
      </c>
      <c r="B697" s="9" t="inlineStr">
        <is>
          <t>Boutique Transit</t>
        </is>
      </c>
      <c r="C697" s="10" t="n">
        <v>96</v>
      </c>
      <c r="D697" s="8" t="inlineStr">
        <is>
          <t>Ford Transit 350</t>
        </is>
      </c>
      <c r="E697" s="8" t="inlineStr">
        <is>
          <t>Charles Williams</t>
        </is>
      </c>
      <c r="F697" s="8" t="inlineStr">
        <is>
          <t>charles@summerlinlogisticsinc.com</t>
        </is>
      </c>
      <c r="G697" s="8" t="inlineStr">
        <is>
          <t>702-555-9700</t>
        </is>
      </c>
      <c r="H697" s="9" t="inlineStr">
        <is>
          <t>DOT72294</t>
        </is>
      </c>
      <c r="I697" s="11" t="n">
        <v>0.172</v>
      </c>
      <c r="J697" s="8" t="inlineStr">
        <is>
          <t>Transit 114°F Electrical Module Overheat Wire Ground Fire Risk</t>
        </is>
      </c>
      <c r="K697" s="9" t="inlineStr">
        <is>
          <t>Warm Prospect</t>
        </is>
      </c>
      <c r="L697" s="12">
        <f>IF(C697&gt;0, 99 + (C697 * 2.5), 0)</f>
        <v/>
      </c>
    </row>
    <row r="698">
      <c r="A698" s="13" t="inlineStr">
        <is>
          <t>Vegas Valley HVAC Services Group</t>
        </is>
      </c>
      <c r="B698" s="14" t="inlineStr">
        <is>
          <t>HVAC/Plumbing</t>
        </is>
      </c>
      <c r="C698" s="15" t="n">
        <v>120</v>
      </c>
      <c r="D698" s="13" t="inlineStr">
        <is>
          <t>Ford Transit 150</t>
        </is>
      </c>
      <c r="E698" s="13" t="inlineStr">
        <is>
          <t>Andrew Hernandez</t>
        </is>
      </c>
      <c r="F698" s="13" t="inlineStr">
        <is>
          <t>andrew@vegasvalleyhvacservicesgroup.com</t>
        </is>
      </c>
      <c r="G698" s="13" t="inlineStr">
        <is>
          <t>702-555-4278</t>
        </is>
      </c>
      <c r="H698" s="14" t="inlineStr">
        <is>
          <t>DOT64304</t>
        </is>
      </c>
      <c r="I698" s="16" t="n">
        <v>0.165</v>
      </c>
      <c r="J698" s="13" t="inlineStr">
        <is>
          <t>Transit 114°F Electrical Module Overheat Wire Ground Fire Risk</t>
        </is>
      </c>
      <c r="K698" s="14" t="inlineStr">
        <is>
          <t>Audit Run</t>
        </is>
      </c>
      <c r="L698" s="17">
        <f>IF(C698&gt;0, 99 + (C698 * 2.5), 0)</f>
        <v/>
      </c>
    </row>
    <row r="699">
      <c r="A699" s="8" t="inlineStr">
        <is>
          <t>First Choice Charter Buses Group</t>
        </is>
      </c>
      <c r="B699" s="9" t="inlineStr">
        <is>
          <t>Boutique Transit</t>
        </is>
      </c>
      <c r="C699" s="10" t="n">
        <v>14</v>
      </c>
      <c r="D699" s="8" t="inlineStr">
        <is>
          <t>Mercedes-Benz Sprinter 2500</t>
        </is>
      </c>
      <c r="E699" s="8" t="inlineStr">
        <is>
          <t>Paul Garcia</t>
        </is>
      </c>
      <c r="F699" s="8" t="inlineStr">
        <is>
          <t>paul@firstchoicecharterbusesgroup.com</t>
        </is>
      </c>
      <c r="G699" s="8" t="inlineStr">
        <is>
          <t>702-555-9178</t>
        </is>
      </c>
      <c r="H699" s="9" t="inlineStr">
        <is>
          <t>DOT37912</t>
        </is>
      </c>
      <c r="I699" s="11" t="n">
        <v>0.245</v>
      </c>
      <c r="J699" s="8" t="inlineStr">
        <is>
          <t>Sprinter AC Comp Condensation Drain Backup Wiring Short</t>
        </is>
      </c>
      <c r="K699" s="9" t="inlineStr">
        <is>
          <t>Warm Prospect</t>
        </is>
      </c>
      <c r="L699" s="12">
        <f>IF(C699&gt;0, 99 + (C699 * 2.5), 0)</f>
        <v/>
      </c>
    </row>
    <row r="700">
      <c r="A700" s="13" t="inlineStr">
        <is>
          <t>Spring Valley Electric Pros Group</t>
        </is>
      </c>
      <c r="B700" s="14" t="inlineStr">
        <is>
          <t>Electrical Services</t>
        </is>
      </c>
      <c r="C700" s="15" t="n">
        <v>25</v>
      </c>
      <c r="D700" s="13" t="inlineStr">
        <is>
          <t>Ram ProMaster 1500</t>
        </is>
      </c>
      <c r="E700" s="13" t="inlineStr">
        <is>
          <t>Paul Miller</t>
        </is>
      </c>
      <c r="F700" s="13" t="inlineStr">
        <is>
          <t>paul@springvalleyelectricprosgroup.com</t>
        </is>
      </c>
      <c r="G700" s="13" t="inlineStr">
        <is>
          <t>702-555-6968</t>
        </is>
      </c>
      <c r="H700" s="14" t="inlineStr">
        <is>
          <t>DOT70619</t>
        </is>
      </c>
      <c r="I700" s="16" t="n">
        <v>0.08599999999999999</v>
      </c>
      <c r="J700" s="13" t="inlineStr">
        <is>
          <t>ProMaster Brake Line Rubbing Collision Abrasion Leak</t>
        </is>
      </c>
      <c r="K700" s="14" t="inlineStr">
        <is>
          <t>Warm Prospect</t>
        </is>
      </c>
      <c r="L700" s="17">
        <f>IF(C700&gt;0, 99 + (C700 * 2.5), 0)</f>
        <v/>
      </c>
    </row>
    <row r="701">
      <c r="A701" s="8" t="inlineStr">
        <is>
          <t>Vegas Valley Chauffeurs LLC</t>
        </is>
      </c>
      <c r="B701" s="9" t="inlineStr">
        <is>
          <t>Boutique Transit</t>
        </is>
      </c>
      <c r="C701" s="10" t="n">
        <v>91</v>
      </c>
      <c r="D701" s="8" t="inlineStr">
        <is>
          <t>Mercedes-Benz Sprinter 3500</t>
        </is>
      </c>
      <c r="E701" s="8" t="inlineStr">
        <is>
          <t>James Miller</t>
        </is>
      </c>
      <c r="F701" s="8" t="inlineStr">
        <is>
          <t>james@vegasvalleychauffeursllc.com</t>
        </is>
      </c>
      <c r="G701" s="8" t="inlineStr">
        <is>
          <t>702-555-7757</t>
        </is>
      </c>
      <c r="H701" s="9" t="inlineStr">
        <is>
          <t>DOT44987</t>
        </is>
      </c>
      <c r="I701" s="11" t="n">
        <v>0.295</v>
      </c>
      <c r="J701" s="8" t="inlineStr">
        <is>
          <t>Sprinter AC Comp Condensation Drain Backup Wiring Short</t>
        </is>
      </c>
      <c r="K701" s="9" t="inlineStr">
        <is>
          <t>Warm Prospect</t>
        </is>
      </c>
      <c r="L701" s="12">
        <f>IF(C701&gt;0, 99 + (C701 * 2.5), 0)</f>
        <v/>
      </c>
    </row>
    <row r="702">
      <c r="A702" s="13" t="inlineStr">
        <is>
          <t>Vegas Valley Lighting &amp; Power Inc</t>
        </is>
      </c>
      <c r="B702" s="14" t="inlineStr">
        <is>
          <t>Electrical Services</t>
        </is>
      </c>
      <c r="C702" s="15" t="n">
        <v>71</v>
      </c>
      <c r="D702" s="13" t="inlineStr">
        <is>
          <t>Ram ProMaster 1500</t>
        </is>
      </c>
      <c r="E702" s="13" t="inlineStr">
        <is>
          <t>Robert Jones</t>
        </is>
      </c>
      <c r="F702" s="13" t="inlineStr">
        <is>
          <t>robert@vegasvalleylightingpowerinc.com</t>
        </is>
      </c>
      <c r="G702" s="13" t="inlineStr">
        <is>
          <t>702-555-4144</t>
        </is>
      </c>
      <c r="H702" s="14" t="inlineStr">
        <is>
          <t>DOT13631</t>
        </is>
      </c>
      <c r="I702" s="16" t="n">
        <v>0.116</v>
      </c>
      <c r="J702" s="13" t="inlineStr">
        <is>
          <t>ProMaster Brake Line Rubbing Collision Abrasion Leak</t>
        </is>
      </c>
      <c r="K702" s="14" t="inlineStr">
        <is>
          <t>Warm Prospect</t>
        </is>
      </c>
      <c r="L702" s="17">
        <f>IF(C702&gt;0, 99 + (C702 * 2.5), 0)</f>
        <v/>
      </c>
    </row>
    <row r="703">
      <c r="A703" s="8" t="inlineStr">
        <is>
          <t>First Choice Lighting &amp; Power LLC</t>
        </is>
      </c>
      <c r="B703" s="9" t="inlineStr">
        <is>
          <t>Electrical Services</t>
        </is>
      </c>
      <c r="C703" s="10" t="n">
        <v>19</v>
      </c>
      <c r="D703" s="8" t="inlineStr">
        <is>
          <t>Ram ProMaster 1500</t>
        </is>
      </c>
      <c r="E703" s="8" t="inlineStr">
        <is>
          <t>Richard Garcia</t>
        </is>
      </c>
      <c r="F703" s="8" t="inlineStr">
        <is>
          <t>richard@firstchoicelightingpowerllc.com</t>
        </is>
      </c>
      <c r="G703" s="8" t="inlineStr">
        <is>
          <t>702-555-5468</t>
        </is>
      </c>
      <c r="H703" s="9" t="inlineStr">
        <is>
          <t>DOT27882</t>
        </is>
      </c>
      <c r="I703" s="11" t="n">
        <v>0.049</v>
      </c>
      <c r="J703" s="8" t="inlineStr">
        <is>
          <t>ProMaster Brake Line Rubbing Collision Abrasion Leak</t>
        </is>
      </c>
      <c r="K703" s="9" t="inlineStr">
        <is>
          <t>Warm Prospect</t>
        </is>
      </c>
      <c r="L703" s="12">
        <f>IF(C703&gt;0, 99 + (C703 * 2.5), 0)</f>
        <v/>
      </c>
    </row>
    <row r="704">
      <c r="A704" s="13" t="inlineStr">
        <is>
          <t>High Rise Airport Express Group</t>
        </is>
      </c>
      <c r="B704" s="14" t="inlineStr">
        <is>
          <t>Boutique Transit</t>
        </is>
      </c>
      <c r="C704" s="15" t="n">
        <v>134</v>
      </c>
      <c r="D704" s="13" t="inlineStr">
        <is>
          <t>Mercedes-Benz Sprinter 2500</t>
        </is>
      </c>
      <c r="E704" s="13" t="inlineStr">
        <is>
          <t>John Johnson</t>
        </is>
      </c>
      <c r="F704" s="13" t="inlineStr">
        <is>
          <t>john@highriseairportexpressgroup.com</t>
        </is>
      </c>
      <c r="G704" s="13" t="inlineStr">
        <is>
          <t>702-555-2375</t>
        </is>
      </c>
      <c r="H704" s="14" t="inlineStr">
        <is>
          <t>DOT51144</t>
        </is>
      </c>
      <c r="I704" s="16" t="n">
        <v>0.226</v>
      </c>
      <c r="J704" s="13" t="inlineStr">
        <is>
          <t>Sprinter AC Comp Condensation Drain Backup Wiring Short</t>
        </is>
      </c>
      <c r="K704" s="14" t="inlineStr">
        <is>
          <t>Warm Prospect</t>
        </is>
      </c>
      <c r="L704" s="17">
        <f>IF(C704&gt;0, 99 + (C704 * 2.5), 0)</f>
        <v/>
      </c>
    </row>
    <row r="705">
      <c r="A705" s="8" t="inlineStr">
        <is>
          <t>Spring Valley Electrical Contractors Group</t>
        </is>
      </c>
      <c r="B705" s="9" t="inlineStr">
        <is>
          <t>Electrical Services</t>
        </is>
      </c>
      <c r="C705" s="10" t="n">
        <v>111</v>
      </c>
      <c r="D705" s="8" t="inlineStr">
        <is>
          <t>Chevy Express 2500</t>
        </is>
      </c>
      <c r="E705" s="8" t="inlineStr">
        <is>
          <t>David Davis</t>
        </is>
      </c>
      <c r="F705" s="8" t="inlineStr">
        <is>
          <t>david@springvalleyelectricalcontractorsgroup.com</t>
        </is>
      </c>
      <c r="G705" s="8" t="inlineStr">
        <is>
          <t>702-555-2833</t>
        </is>
      </c>
      <c r="H705" s="9" t="inlineStr">
        <is>
          <t>DOT84838</t>
        </is>
      </c>
      <c r="I705" s="11" t="n">
        <v>0.268</v>
      </c>
      <c r="J705" s="8" t="inlineStr">
        <is>
          <t>Express Engine Bay Hose Thermal Crack Hazard</t>
        </is>
      </c>
      <c r="K705" s="9" t="inlineStr">
        <is>
          <t>Warm Prospect</t>
        </is>
      </c>
      <c r="L705" s="12">
        <f>IF(C705&gt;0, 99 + (C705 * 2.5), 0)</f>
        <v/>
      </c>
    </row>
    <row r="706">
      <c r="A706" s="13" t="inlineStr">
        <is>
          <t>Vegas Valley Logistics Group</t>
        </is>
      </c>
      <c r="B706" s="14" t="inlineStr">
        <is>
          <t>Boutique Transit</t>
        </is>
      </c>
      <c r="C706" s="15" t="n">
        <v>137</v>
      </c>
      <c r="D706" s="13" t="inlineStr">
        <is>
          <t>Mercedes-Benz Sprinter 3500</t>
        </is>
      </c>
      <c r="E706" s="13" t="inlineStr">
        <is>
          <t>James Davis</t>
        </is>
      </c>
      <c r="F706" s="13" t="inlineStr">
        <is>
          <t>james@vegasvalleylogisticsgroup.com</t>
        </is>
      </c>
      <c r="G706" s="13" t="inlineStr">
        <is>
          <t>702-555-3003</t>
        </is>
      </c>
      <c r="H706" s="14" t="inlineStr">
        <is>
          <t>DOT51079</t>
        </is>
      </c>
      <c r="I706" s="16" t="n">
        <v>0.142</v>
      </c>
      <c r="J706" s="13" t="inlineStr">
        <is>
          <t>Sprinter AC Comp Condensation Drain Backup Wiring Short</t>
        </is>
      </c>
      <c r="K706" s="14" t="inlineStr">
        <is>
          <t>Audit Run</t>
        </is>
      </c>
      <c r="L706" s="17">
        <f>IF(C706&gt;0, 99 + (C706 * 2.5), 0)</f>
        <v/>
      </c>
    </row>
    <row r="707">
      <c r="A707" s="8" t="inlineStr">
        <is>
          <t>Titan Charter Buses Group</t>
        </is>
      </c>
      <c r="B707" s="9" t="inlineStr">
        <is>
          <t>Boutique Transit</t>
        </is>
      </c>
      <c r="C707" s="10" t="n">
        <v>118</v>
      </c>
      <c r="D707" s="8" t="inlineStr">
        <is>
          <t>Mercedes-Benz Sprinter 2500</t>
        </is>
      </c>
      <c r="E707" s="8" t="inlineStr">
        <is>
          <t>Richard Jones</t>
        </is>
      </c>
      <c r="F707" s="8" t="inlineStr">
        <is>
          <t>richard@titancharterbusesgroup.com</t>
        </is>
      </c>
      <c r="G707" s="8" t="inlineStr">
        <is>
          <t>702-555-2750</t>
        </is>
      </c>
      <c r="H707" s="9" t="inlineStr">
        <is>
          <t>DOT32957</t>
        </is>
      </c>
      <c r="I707" s="11" t="n">
        <v>0.106</v>
      </c>
      <c r="J707" s="8" t="inlineStr">
        <is>
          <t>Sprinter AC Comp Condensation Drain Backup Wiring Short</t>
        </is>
      </c>
      <c r="K707" s="9" t="inlineStr">
        <is>
          <t>Warm Prospect</t>
        </is>
      </c>
      <c r="L707" s="12">
        <f>IF(C707&gt;0, 99 + (C707 * 2.5), 0)</f>
        <v/>
      </c>
    </row>
    <row r="708">
      <c r="A708" s="13" t="inlineStr">
        <is>
          <t>Titan Electrical Contractors Group</t>
        </is>
      </c>
      <c r="B708" s="14" t="inlineStr">
        <is>
          <t>Electrical Services</t>
        </is>
      </c>
      <c r="C708" s="15" t="n">
        <v>135</v>
      </c>
      <c r="D708" s="13" t="inlineStr">
        <is>
          <t>Chevy Express 2500</t>
        </is>
      </c>
      <c r="E708" s="13" t="inlineStr">
        <is>
          <t>Andrew Lopez</t>
        </is>
      </c>
      <c r="F708" s="13" t="inlineStr">
        <is>
          <t>andrew@titanelectricalcontractorsgroup.com</t>
        </is>
      </c>
      <c r="G708" s="13" t="inlineStr">
        <is>
          <t>702-555-2850</t>
        </is>
      </c>
      <c r="H708" s="14" t="inlineStr">
        <is>
          <t>DOT51482</t>
        </is>
      </c>
      <c r="I708" s="16" t="n">
        <v>0.209</v>
      </c>
      <c r="J708" s="13" t="inlineStr">
        <is>
          <t>Express Engine Bay Hose Thermal Crack Hazard</t>
        </is>
      </c>
      <c r="K708" s="14" t="inlineStr">
        <is>
          <t>Warm Prospect</t>
        </is>
      </c>
      <c r="L708" s="17">
        <f>IF(C708&gt;0, 99 + (C708 * 2.5), 0)</f>
        <v/>
      </c>
    </row>
    <row r="709">
      <c r="A709" s="8" t="inlineStr">
        <is>
          <t>Sunset Chauffeurs Inc</t>
        </is>
      </c>
      <c r="B709" s="9" t="inlineStr">
        <is>
          <t>Boutique Transit</t>
        </is>
      </c>
      <c r="C709" s="10" t="n">
        <v>131</v>
      </c>
      <c r="D709" s="8" t="inlineStr">
        <is>
          <t>Mercedes-Benz Sprinter 3500</t>
        </is>
      </c>
      <c r="E709" s="8" t="inlineStr">
        <is>
          <t>Matthew Martinez</t>
        </is>
      </c>
      <c r="F709" s="8" t="inlineStr">
        <is>
          <t>matthew@sunsetchauffeursinc.com</t>
        </is>
      </c>
      <c r="G709" s="8" t="inlineStr">
        <is>
          <t>702-555-1345</t>
        </is>
      </c>
      <c r="H709" s="9" t="inlineStr">
        <is>
          <t>DOT94593</t>
        </is>
      </c>
      <c r="I709" s="11" t="n">
        <v>0.34</v>
      </c>
      <c r="J709" s="8" t="inlineStr">
        <is>
          <t>Sprinter AC Comp Condensation Drain Backup Wiring Short</t>
        </is>
      </c>
      <c r="K709" s="9" t="inlineStr">
        <is>
          <t>Audit Run</t>
        </is>
      </c>
      <c r="L709" s="12">
        <f>IF(C709&gt;0, 99 + (C709 * 2.5), 0)</f>
        <v/>
      </c>
    </row>
    <row r="710">
      <c r="A710" s="13" t="inlineStr">
        <is>
          <t>Summerlin Mechanical Services Group</t>
        </is>
      </c>
      <c r="B710" s="14" t="inlineStr">
        <is>
          <t>HVAC/Plumbing</t>
        </is>
      </c>
      <c r="C710" s="15" t="n">
        <v>71</v>
      </c>
      <c r="D710" s="13" t="inlineStr">
        <is>
          <t>Ford Transit 250</t>
        </is>
      </c>
      <c r="E710" s="13" t="inlineStr">
        <is>
          <t>Charles Moore</t>
        </is>
      </c>
      <c r="F710" s="13" t="inlineStr">
        <is>
          <t>charles@summerlinmechanicalservicesgroup.com</t>
        </is>
      </c>
      <c r="G710" s="13" t="inlineStr">
        <is>
          <t>702-555-7302</t>
        </is>
      </c>
      <c r="H710" s="14" t="inlineStr">
        <is>
          <t>DOT50536</t>
        </is>
      </c>
      <c r="I710" s="16" t="n">
        <v>0.238</v>
      </c>
      <c r="J710" s="13" t="inlineStr">
        <is>
          <t>Transit 114°F Electrical Module Overheat Wire Ground Fire Risk</t>
        </is>
      </c>
      <c r="K710" s="14" t="inlineStr">
        <is>
          <t>Warm Prospect</t>
        </is>
      </c>
      <c r="L710" s="17">
        <f>IF(C710&gt;0, 99 + (C710 * 2.5), 0)</f>
        <v/>
      </c>
    </row>
    <row r="711">
      <c r="A711" s="8" t="inlineStr">
        <is>
          <t>Apex Logistics Inc</t>
        </is>
      </c>
      <c r="B711" s="9" t="inlineStr">
        <is>
          <t>Boutique Transit</t>
        </is>
      </c>
      <c r="C711" s="10" t="n">
        <v>109</v>
      </c>
      <c r="D711" s="8" t="inlineStr">
        <is>
          <t>Mercedes-Benz Sprinter 3500</t>
        </is>
      </c>
      <c r="E711" s="8" t="inlineStr">
        <is>
          <t>John Gonzalez</t>
        </is>
      </c>
      <c r="F711" s="8" t="inlineStr">
        <is>
          <t>john@apexlogisticsinc.com</t>
        </is>
      </c>
      <c r="G711" s="8" t="inlineStr">
        <is>
          <t>702-555-5186</t>
        </is>
      </c>
      <c r="H711" s="9" t="inlineStr">
        <is>
          <t>DOT49438</t>
        </is>
      </c>
      <c r="I711" s="11" t="n">
        <v>0.068</v>
      </c>
      <c r="J711" s="8" t="inlineStr">
        <is>
          <t>Sprinter AC Comp Condensation Drain Backup Wiring Short</t>
        </is>
      </c>
      <c r="K711" s="9" t="inlineStr">
        <is>
          <t>Warm Prospect</t>
        </is>
      </c>
      <c r="L711" s="12">
        <f>IF(C711&gt;0, 99 + (C711 * 2.5), 0)</f>
        <v/>
      </c>
    </row>
    <row r="712">
      <c r="A712" s="13" t="inlineStr">
        <is>
          <t>Sunset Power Systems LLC</t>
        </is>
      </c>
      <c r="B712" s="14" t="inlineStr">
        <is>
          <t>Electrical Services</t>
        </is>
      </c>
      <c r="C712" s="15" t="n">
        <v>114</v>
      </c>
      <c r="D712" s="13" t="inlineStr">
        <is>
          <t>Ram ProMaster 2500</t>
        </is>
      </c>
      <c r="E712" s="13" t="inlineStr">
        <is>
          <t>Michael Rodriguez</t>
        </is>
      </c>
      <c r="F712" s="13" t="inlineStr">
        <is>
          <t>michael@sunsetpowersystemsllc.com</t>
        </is>
      </c>
      <c r="G712" s="13" t="inlineStr">
        <is>
          <t>702-555-2312</t>
        </is>
      </c>
      <c r="H712" s="14" t="inlineStr">
        <is>
          <t>DOT74447</t>
        </is>
      </c>
      <c r="I712" s="16" t="n">
        <v>0.186</v>
      </c>
      <c r="J712" s="13" t="inlineStr">
        <is>
          <t>ProMaster Brake Line Rubbing Collision Abrasion Leak</t>
        </is>
      </c>
      <c r="K712" s="14" t="inlineStr">
        <is>
          <t>Warm Prospect</t>
        </is>
      </c>
      <c r="L712" s="17">
        <f>IF(C712&gt;0, 99 + (C712 * 2.5), 0)</f>
        <v/>
      </c>
    </row>
    <row r="713">
      <c r="A713" s="8" t="inlineStr">
        <is>
          <t>Clark County Wiring Solutions Inc</t>
        </is>
      </c>
      <c r="B713" s="9" t="inlineStr">
        <is>
          <t>Electrical Services</t>
        </is>
      </c>
      <c r="C713" s="10" t="n">
        <v>76</v>
      </c>
      <c r="D713" s="8" t="inlineStr">
        <is>
          <t>Chevy Express 3500</t>
        </is>
      </c>
      <c r="E713" s="8" t="inlineStr">
        <is>
          <t>Paul Williams</t>
        </is>
      </c>
      <c r="F713" s="8" t="inlineStr">
        <is>
          <t>paul@clarkcountywiringsolutionsinc.com</t>
        </is>
      </c>
      <c r="G713" s="8" t="inlineStr">
        <is>
          <t>702-555-6764</t>
        </is>
      </c>
      <c r="H713" s="9" t="inlineStr">
        <is>
          <t>DOT65164</t>
        </is>
      </c>
      <c r="I713" s="11" t="n">
        <v>0.227</v>
      </c>
      <c r="J713" s="8" t="inlineStr">
        <is>
          <t>Express Engine Bay Hose Thermal Crack Hazard</t>
        </is>
      </c>
      <c r="K713" s="9" t="inlineStr">
        <is>
          <t>Audit Run</t>
        </is>
      </c>
      <c r="L713" s="12">
        <f>IF(C713&gt;0, 99 + (C713 * 2.5), 0)</f>
        <v/>
      </c>
    </row>
    <row r="714">
      <c r="A714" s="13" t="inlineStr">
        <is>
          <t>Valley Tours &amp; Transit Group</t>
        </is>
      </c>
      <c r="B714" s="14" t="inlineStr">
        <is>
          <t>Boutique Transit</t>
        </is>
      </c>
      <c r="C714" s="15" t="n">
        <v>23</v>
      </c>
      <c r="D714" s="13" t="inlineStr">
        <is>
          <t>Mercedes-Benz Sprinter 2500</t>
        </is>
      </c>
      <c r="E714" s="13" t="inlineStr">
        <is>
          <t>William Anderson</t>
        </is>
      </c>
      <c r="F714" s="13" t="inlineStr">
        <is>
          <t>william@valleytourstransitgroup.com</t>
        </is>
      </c>
      <c r="G714" s="13" t="inlineStr">
        <is>
          <t>702-555-3229</t>
        </is>
      </c>
      <c r="H714" s="14" t="inlineStr">
        <is>
          <t>DOT10403</t>
        </is>
      </c>
      <c r="I714" s="16" t="n">
        <v>0.164</v>
      </c>
      <c r="J714" s="13" t="inlineStr">
        <is>
          <t>Sprinter AC Comp Condensation Drain Backup Wiring Short</t>
        </is>
      </c>
      <c r="K714" s="14" t="inlineStr">
        <is>
          <t>Warm Prospect</t>
        </is>
      </c>
      <c r="L714" s="17">
        <f>IF(C714&gt;0, 99 + (C714 * 2.5), 0)</f>
        <v/>
      </c>
    </row>
    <row r="715">
      <c r="A715" s="8" t="inlineStr">
        <is>
          <t>Las Vegas Electric &amp; Solar Inc</t>
        </is>
      </c>
      <c r="B715" s="9" t="inlineStr">
        <is>
          <t>Electrical Services</t>
        </is>
      </c>
      <c r="C715" s="10" t="n">
        <v>73</v>
      </c>
      <c r="D715" s="8" t="inlineStr">
        <is>
          <t>Chevy Express 3500</t>
        </is>
      </c>
      <c r="E715" s="8" t="inlineStr">
        <is>
          <t>Paul Jones</t>
        </is>
      </c>
      <c r="F715" s="8" t="inlineStr">
        <is>
          <t>paul@lasvegaselectricsolarinc.com</t>
        </is>
      </c>
      <c r="G715" s="8" t="inlineStr">
        <is>
          <t>702-555-7722</t>
        </is>
      </c>
      <c r="H715" s="9" t="inlineStr">
        <is>
          <t>DOT51864</t>
        </is>
      </c>
      <c r="I715" s="11" t="n">
        <v>0.18</v>
      </c>
      <c r="J715" s="8" t="inlineStr">
        <is>
          <t>Express Engine Bay Hose Thermal Crack Hazard</t>
        </is>
      </c>
      <c r="K715" s="9" t="inlineStr">
        <is>
          <t>Warm Prospect</t>
        </is>
      </c>
      <c r="L715" s="12">
        <f>IF(C715&gt;0, 99 + (C715 * 2.5), 0)</f>
        <v/>
      </c>
    </row>
    <row r="716">
      <c r="A716" s="13" t="inlineStr">
        <is>
          <t>Red Rock Electric Pros Group</t>
        </is>
      </c>
      <c r="B716" s="14" t="inlineStr">
        <is>
          <t>Electrical Services</t>
        </is>
      </c>
      <c r="C716" s="15" t="n">
        <v>82</v>
      </c>
      <c r="D716" s="13" t="inlineStr">
        <is>
          <t>Ram ProMaster 2500</t>
        </is>
      </c>
      <c r="E716" s="13" t="inlineStr">
        <is>
          <t>Richard Williams</t>
        </is>
      </c>
      <c r="F716" s="13" t="inlineStr">
        <is>
          <t>richard@redrockelectricprosgroup.com</t>
        </is>
      </c>
      <c r="G716" s="13" t="inlineStr">
        <is>
          <t>702-555-7791</t>
        </is>
      </c>
      <c r="H716" s="14" t="inlineStr">
        <is>
          <t>DOT58182</t>
        </is>
      </c>
      <c r="I716" s="16" t="n">
        <v>0.096</v>
      </c>
      <c r="J716" s="13" t="inlineStr">
        <is>
          <t>ProMaster Brake Line Rubbing Collision Abrasion Leak</t>
        </is>
      </c>
      <c r="K716" s="14" t="inlineStr">
        <is>
          <t>Warm Prospect</t>
        </is>
      </c>
      <c r="L716" s="17">
        <f>IF(C716&gt;0, 99 + (C716 * 2.5), 0)</f>
        <v/>
      </c>
    </row>
    <row r="717">
      <c r="A717" s="8" t="inlineStr">
        <is>
          <t>Sunset Shuttles Inc</t>
        </is>
      </c>
      <c r="B717" s="9" t="inlineStr">
        <is>
          <t>Boutique Transit</t>
        </is>
      </c>
      <c r="C717" s="10" t="n">
        <v>68</v>
      </c>
      <c r="D717" s="8" t="inlineStr">
        <is>
          <t>Ford Transit 350</t>
        </is>
      </c>
      <c r="E717" s="8" t="inlineStr">
        <is>
          <t>James Anderson</t>
        </is>
      </c>
      <c r="F717" s="8" t="inlineStr">
        <is>
          <t>james@sunsetshuttlesinc.com</t>
        </is>
      </c>
      <c r="G717" s="8" t="inlineStr">
        <is>
          <t>702-555-4248</t>
        </is>
      </c>
      <c r="H717" s="9" t="inlineStr">
        <is>
          <t>DOT44312</t>
        </is>
      </c>
      <c r="I717" s="11" t="n">
        <v>0.257</v>
      </c>
      <c r="J717" s="8" t="inlineStr">
        <is>
          <t>Transit 114°F Electrical Module Overheat Wire Ground Fire Risk</t>
        </is>
      </c>
      <c r="K717" s="9" t="inlineStr">
        <is>
          <t>Warm Prospect</t>
        </is>
      </c>
      <c r="L717" s="12">
        <f>IF(C717&gt;0, 99 + (C717 * 2.5), 0)</f>
        <v/>
      </c>
    </row>
    <row r="718">
      <c r="A718" s="13" t="inlineStr">
        <is>
          <t>Titan Plumbing Experts LLC</t>
        </is>
      </c>
      <c r="B718" s="14" t="inlineStr">
        <is>
          <t>HVAC/Plumbing</t>
        </is>
      </c>
      <c r="C718" s="15" t="n">
        <v>76</v>
      </c>
      <c r="D718" s="13" t="inlineStr">
        <is>
          <t>Chevy Express 2500</t>
        </is>
      </c>
      <c r="E718" s="13" t="inlineStr">
        <is>
          <t>David Williams</t>
        </is>
      </c>
      <c r="F718" s="13" t="inlineStr">
        <is>
          <t>david@titanplumbingexpertsllc.com</t>
        </is>
      </c>
      <c r="G718" s="13" t="inlineStr">
        <is>
          <t>702-555-7028</t>
        </is>
      </c>
      <c r="H718" s="14" t="inlineStr">
        <is>
          <t>DOT32298</t>
        </is>
      </c>
      <c r="I718" s="16" t="n">
        <v>0.334</v>
      </c>
      <c r="J718" s="13" t="inlineStr">
        <is>
          <t>Express Engine Bay Hose Thermal Crack Hazard</t>
        </is>
      </c>
      <c r="K718" s="14" t="inlineStr">
        <is>
          <t>Warm Prospect</t>
        </is>
      </c>
      <c r="L718" s="17">
        <f>IF(C718&gt;0, 99 + (C718 * 2.5), 0)</f>
        <v/>
      </c>
    </row>
    <row r="719">
      <c r="A719" s="8" t="inlineStr">
        <is>
          <t>Clark County Plumbing Experts LLC</t>
        </is>
      </c>
      <c r="B719" s="9" t="inlineStr">
        <is>
          <t>HVAC/Plumbing</t>
        </is>
      </c>
      <c r="C719" s="10" t="n">
        <v>136</v>
      </c>
      <c r="D719" s="8" t="inlineStr">
        <is>
          <t>GMC Savana 2500</t>
        </is>
      </c>
      <c r="E719" s="8" t="inlineStr">
        <is>
          <t>Robert Davis</t>
        </is>
      </c>
      <c r="F719" s="8" t="inlineStr">
        <is>
          <t>robert@clarkcountyplumbingexpertsllc.com</t>
        </is>
      </c>
      <c r="G719" s="8" t="inlineStr">
        <is>
          <t>702-555-4328</t>
        </is>
      </c>
      <c r="H719" s="9" t="inlineStr">
        <is>
          <t>DOT34975</t>
        </is>
      </c>
      <c r="I719" s="11" t="n">
        <v>0.333</v>
      </c>
      <c r="J719" s="8" t="inlineStr">
        <is>
          <t>Savana Desert Fuel Line Seal Degradation Failure</t>
        </is>
      </c>
      <c r="K719" s="9" t="inlineStr">
        <is>
          <t>Warm Prospect</t>
        </is>
      </c>
      <c r="L719" s="12">
        <f>IF(C719&gt;0, 99 + (C719 * 2.5), 0)</f>
        <v/>
      </c>
    </row>
    <row r="720">
      <c r="A720" s="13" t="inlineStr">
        <is>
          <t>Clark County Wiring Solutions LLC</t>
        </is>
      </c>
      <c r="B720" s="14" t="inlineStr">
        <is>
          <t>Electrical Services</t>
        </is>
      </c>
      <c r="C720" s="15" t="n">
        <v>120</v>
      </c>
      <c r="D720" s="13" t="inlineStr">
        <is>
          <t>Chevy Express 3500</t>
        </is>
      </c>
      <c r="E720" s="13" t="inlineStr">
        <is>
          <t>Richard Martin</t>
        </is>
      </c>
      <c r="F720" s="13" t="inlineStr">
        <is>
          <t>richard@clarkcountywiringsolutionsllc.com</t>
        </is>
      </c>
      <c r="G720" s="13" t="inlineStr">
        <is>
          <t>702-555-4531</t>
        </is>
      </c>
      <c r="H720" s="14" t="inlineStr">
        <is>
          <t>DOT47089</t>
        </is>
      </c>
      <c r="I720" s="16" t="n">
        <v>0.265</v>
      </c>
      <c r="J720" s="13" t="inlineStr">
        <is>
          <t>Express Engine Bay Hose Thermal Crack Hazard</t>
        </is>
      </c>
      <c r="K720" s="14" t="inlineStr">
        <is>
          <t>Warm Prospect</t>
        </is>
      </c>
      <c r="L720" s="17">
        <f>IF(C720&gt;0, 99 + (C720 * 2.5), 0)</f>
        <v/>
      </c>
    </row>
    <row r="721">
      <c r="A721" s="8" t="inlineStr">
        <is>
          <t>Red Rock Wiring Solutions Inc</t>
        </is>
      </c>
      <c r="B721" s="9" t="inlineStr">
        <is>
          <t>Electrical Services</t>
        </is>
      </c>
      <c r="C721" s="10" t="n">
        <v>84</v>
      </c>
      <c r="D721" s="8" t="inlineStr">
        <is>
          <t>Chevy Express 2500</t>
        </is>
      </c>
      <c r="E721" s="8" t="inlineStr">
        <is>
          <t>Charles Davis</t>
        </is>
      </c>
      <c r="F721" s="8" t="inlineStr">
        <is>
          <t>charles@redrockwiringsolutionsinc.com</t>
        </is>
      </c>
      <c r="G721" s="8" t="inlineStr">
        <is>
          <t>702-555-8388</t>
        </is>
      </c>
      <c r="H721" s="9" t="inlineStr">
        <is>
          <t>DOT42547</t>
        </is>
      </c>
      <c r="I721" s="11" t="n">
        <v>0.155</v>
      </c>
      <c r="J721" s="8" t="inlineStr">
        <is>
          <t>Express Engine Bay Hose Thermal Crack Hazard</t>
        </is>
      </c>
      <c r="K721" s="9" t="inlineStr">
        <is>
          <t>Warm Prospect</t>
        </is>
      </c>
      <c r="L721" s="12">
        <f>IF(C721&gt;0, 99 + (C721 * 2.5), 0)</f>
        <v/>
      </c>
    </row>
    <row r="722">
      <c r="A722" s="13" t="inlineStr">
        <is>
          <t>Silver State Comfort Heating Inc</t>
        </is>
      </c>
      <c r="B722" s="14" t="inlineStr">
        <is>
          <t>HVAC/Plumbing</t>
        </is>
      </c>
      <c r="C722" s="15" t="n">
        <v>111</v>
      </c>
      <c r="D722" s="13" t="inlineStr">
        <is>
          <t>Ford Transit 150</t>
        </is>
      </c>
      <c r="E722" s="13" t="inlineStr">
        <is>
          <t>Richard Gonzalez</t>
        </is>
      </c>
      <c r="F722" s="13" t="inlineStr">
        <is>
          <t>richard@silverstatecomfortheatinginc.com</t>
        </is>
      </c>
      <c r="G722" s="13" t="inlineStr">
        <is>
          <t>702-555-7935</t>
        </is>
      </c>
      <c r="H722" s="14" t="inlineStr">
        <is>
          <t>DOT88275</t>
        </is>
      </c>
      <c r="I722" s="16" t="n">
        <v>0.119</v>
      </c>
      <c r="J722" s="13" t="inlineStr">
        <is>
          <t>Transit 114°F Electrical Module Overheat Wire Ground Fire Risk</t>
        </is>
      </c>
      <c r="K722" s="14" t="inlineStr">
        <is>
          <t>Warm Prospect</t>
        </is>
      </c>
      <c r="L722" s="17">
        <f>IF(C722&gt;0, 99 + (C722 * 2.5), 0)</f>
        <v/>
      </c>
    </row>
    <row r="723">
      <c r="A723" s="8" t="inlineStr">
        <is>
          <t>Silver State Shuttles LLC</t>
        </is>
      </c>
      <c r="B723" s="9" t="inlineStr">
        <is>
          <t>Boutique Transit</t>
        </is>
      </c>
      <c r="C723" s="10" t="n">
        <v>130</v>
      </c>
      <c r="D723" s="8" t="inlineStr">
        <is>
          <t>Mercedes-Benz Sprinter 2500</t>
        </is>
      </c>
      <c r="E723" s="8" t="inlineStr">
        <is>
          <t>Matthew Martin</t>
        </is>
      </c>
      <c r="F723" s="8" t="inlineStr">
        <is>
          <t>matthew@silverstateshuttlesllc.com</t>
        </is>
      </c>
      <c r="G723" s="8" t="inlineStr">
        <is>
          <t>702-555-1745</t>
        </is>
      </c>
      <c r="H723" s="9" t="inlineStr">
        <is>
          <t>DOT10702</t>
        </is>
      </c>
      <c r="I723" s="11" t="n">
        <v>0.119</v>
      </c>
      <c r="J723" s="8" t="inlineStr">
        <is>
          <t>Sprinter AC Comp Condensation Drain Backup Wiring Short</t>
        </is>
      </c>
      <c r="K723" s="9" t="inlineStr">
        <is>
          <t>Audit Run</t>
        </is>
      </c>
      <c r="L723" s="12">
        <f>IF(C723&gt;0, 99 + (C723 * 2.5), 0)</f>
        <v/>
      </c>
    </row>
    <row r="724">
      <c r="A724" s="13" t="inlineStr">
        <is>
          <t>Mojave Wiring Solutions Group</t>
        </is>
      </c>
      <c r="B724" s="14" t="inlineStr">
        <is>
          <t>Electrical Services</t>
        </is>
      </c>
      <c r="C724" s="15" t="n">
        <v>43</v>
      </c>
      <c r="D724" s="13" t="inlineStr">
        <is>
          <t>Ram ProMaster 2500</t>
        </is>
      </c>
      <c r="E724" s="13" t="inlineStr">
        <is>
          <t>Andrew Johnson</t>
        </is>
      </c>
      <c r="F724" s="13" t="inlineStr">
        <is>
          <t>andrew@mojavewiringsolutionsgroup.com</t>
        </is>
      </c>
      <c r="G724" s="13" t="inlineStr">
        <is>
          <t>702-555-3938</t>
        </is>
      </c>
      <c r="H724" s="14" t="inlineStr">
        <is>
          <t>DOT44116</t>
        </is>
      </c>
      <c r="I724" s="16" t="n">
        <v>0.093</v>
      </c>
      <c r="J724" s="13" t="inlineStr">
        <is>
          <t>ProMaster Brake Line Rubbing Collision Abrasion Leak</t>
        </is>
      </c>
      <c r="K724" s="14" t="inlineStr">
        <is>
          <t>Warm Prospect</t>
        </is>
      </c>
      <c r="L724" s="17">
        <f>IF(C724&gt;0, 99 + (C724 * 2.5), 0)</f>
        <v/>
      </c>
    </row>
    <row r="725">
      <c r="A725" s="8" t="inlineStr">
        <is>
          <t>Spring Valley Wiring Solutions Inc</t>
        </is>
      </c>
      <c r="B725" s="9" t="inlineStr">
        <is>
          <t>Electrical Services</t>
        </is>
      </c>
      <c r="C725" s="10" t="n">
        <v>91</v>
      </c>
      <c r="D725" s="8" t="inlineStr">
        <is>
          <t>Chevy Express 2500</t>
        </is>
      </c>
      <c r="E725" s="8" t="inlineStr">
        <is>
          <t>Paul Wilson</t>
        </is>
      </c>
      <c r="F725" s="8" t="inlineStr">
        <is>
          <t>paul@springvalleywiringsolutionsinc.com</t>
        </is>
      </c>
      <c r="G725" s="8" t="inlineStr">
        <is>
          <t>702-555-3323</t>
        </is>
      </c>
      <c r="H725" s="9" t="inlineStr">
        <is>
          <t>DOT44131</t>
        </is>
      </c>
      <c r="I725" s="11" t="n">
        <v>0.076</v>
      </c>
      <c r="J725" s="8" t="inlineStr">
        <is>
          <t>Express Engine Bay Hose Thermal Crack Hazard</t>
        </is>
      </c>
      <c r="K725" s="9" t="inlineStr">
        <is>
          <t>Warm Prospect</t>
        </is>
      </c>
      <c r="L725" s="12">
        <f>IF(C725&gt;0, 99 + (C725 * 2.5), 0)</f>
        <v/>
      </c>
    </row>
    <row r="726">
      <c r="A726" s="13" t="inlineStr">
        <is>
          <t>First Choice HVAC Services Group</t>
        </is>
      </c>
      <c r="B726" s="14" t="inlineStr">
        <is>
          <t>HVAC/Plumbing</t>
        </is>
      </c>
      <c r="C726" s="15" t="n">
        <v>120</v>
      </c>
      <c r="D726" s="13" t="inlineStr">
        <is>
          <t>Ford Transit 150</t>
        </is>
      </c>
      <c r="E726" s="13" t="inlineStr">
        <is>
          <t>Christopher Rodriguez</t>
        </is>
      </c>
      <c r="F726" s="13" t="inlineStr">
        <is>
          <t>christopher@firstchoicehvacservicesgroup.com</t>
        </is>
      </c>
      <c r="G726" s="13" t="inlineStr">
        <is>
          <t>702-555-5321</t>
        </is>
      </c>
      <c r="H726" s="14" t="inlineStr">
        <is>
          <t>DOT77760</t>
        </is>
      </c>
      <c r="I726" s="16" t="n">
        <v>0.137</v>
      </c>
      <c r="J726" s="13" t="inlineStr">
        <is>
          <t>Transit 114°F Electrical Module Overheat Wire Ground Fire Risk</t>
        </is>
      </c>
      <c r="K726" s="14" t="inlineStr">
        <is>
          <t>Warm Prospect</t>
        </is>
      </c>
      <c r="L726" s="17">
        <f>IF(C726&gt;0, 99 + (C726 * 2.5), 0)</f>
        <v/>
      </c>
    </row>
    <row r="727">
      <c r="A727" s="8" t="inlineStr">
        <is>
          <t>Clark County Wiring Solutions Inc</t>
        </is>
      </c>
      <c r="B727" s="9" t="inlineStr">
        <is>
          <t>Electrical Services</t>
        </is>
      </c>
      <c r="C727" s="10" t="n">
        <v>23</v>
      </c>
      <c r="D727" s="8" t="inlineStr">
        <is>
          <t>Ram ProMaster 1500</t>
        </is>
      </c>
      <c r="E727" s="8" t="inlineStr">
        <is>
          <t>Richard Jones</t>
        </is>
      </c>
      <c r="F727" s="8" t="inlineStr">
        <is>
          <t>richard@clarkcountywiringsolutionsinc.com</t>
        </is>
      </c>
      <c r="G727" s="8" t="inlineStr">
        <is>
          <t>702-555-1894</t>
        </is>
      </c>
      <c r="H727" s="9" t="inlineStr">
        <is>
          <t>DOT40128</t>
        </is>
      </c>
      <c r="I727" s="11" t="n">
        <v>0.097</v>
      </c>
      <c r="J727" s="8" t="inlineStr">
        <is>
          <t>ProMaster Brake Line Rubbing Collision Abrasion Leak</t>
        </is>
      </c>
      <c r="K727" s="9" t="inlineStr">
        <is>
          <t>Warm Prospect</t>
        </is>
      </c>
      <c r="L727" s="12">
        <f>IF(C727&gt;0, 99 + (C727 * 2.5), 0)</f>
        <v/>
      </c>
    </row>
    <row r="728">
      <c r="A728" s="13" t="inlineStr">
        <is>
          <t>Red Rock Electric Pros LLC</t>
        </is>
      </c>
      <c r="B728" s="14" t="inlineStr">
        <is>
          <t>Electrical Services</t>
        </is>
      </c>
      <c r="C728" s="15" t="n">
        <v>39</v>
      </c>
      <c r="D728" s="13" t="inlineStr">
        <is>
          <t>Ram ProMaster 1500</t>
        </is>
      </c>
      <c r="E728" s="13" t="inlineStr">
        <is>
          <t>Steven Johnson</t>
        </is>
      </c>
      <c r="F728" s="13" t="inlineStr">
        <is>
          <t>steven@redrockelectricprosllc.com</t>
        </is>
      </c>
      <c r="G728" s="13" t="inlineStr">
        <is>
          <t>702-555-8233</t>
        </is>
      </c>
      <c r="H728" s="14" t="inlineStr">
        <is>
          <t>DOT56729</t>
        </is>
      </c>
      <c r="I728" s="16" t="n">
        <v>0.347</v>
      </c>
      <c r="J728" s="13" t="inlineStr">
        <is>
          <t>ProMaster Brake Line Rubbing Collision Abrasion Leak</t>
        </is>
      </c>
      <c r="K728" s="14" t="inlineStr">
        <is>
          <t>Audit Run</t>
        </is>
      </c>
      <c r="L728" s="17">
        <f>IF(C728&gt;0, 99 + (C728 * 2.5), 0)</f>
        <v/>
      </c>
    </row>
    <row r="729">
      <c r="A729" s="8" t="inlineStr">
        <is>
          <t>First Choice Wiring Solutions Inc</t>
        </is>
      </c>
      <c r="B729" s="9" t="inlineStr">
        <is>
          <t>Electrical Services</t>
        </is>
      </c>
      <c r="C729" s="10" t="n">
        <v>41</v>
      </c>
      <c r="D729" s="8" t="inlineStr">
        <is>
          <t>Chevy Express 3500</t>
        </is>
      </c>
      <c r="E729" s="8" t="inlineStr">
        <is>
          <t>Matthew Williams</t>
        </is>
      </c>
      <c r="F729" s="8" t="inlineStr">
        <is>
          <t>matthew@firstchoicewiringsolutionsinc.com</t>
        </is>
      </c>
      <c r="G729" s="8" t="inlineStr">
        <is>
          <t>702-555-4337</t>
        </is>
      </c>
      <c r="H729" s="9" t="inlineStr">
        <is>
          <t>DOT47239</t>
        </is>
      </c>
      <c r="I729" s="11" t="n">
        <v>0.096</v>
      </c>
      <c r="J729" s="8" t="inlineStr">
        <is>
          <t>Express Engine Bay Hose Thermal Crack Hazard</t>
        </is>
      </c>
      <c r="K729" s="9" t="inlineStr">
        <is>
          <t>Warm Prospect</t>
        </is>
      </c>
      <c r="L729" s="12">
        <f>IF(C729&gt;0, 99 + (C729 * 2.5), 0)</f>
        <v/>
      </c>
    </row>
    <row r="730">
      <c r="A730" s="13" t="inlineStr">
        <is>
          <t>High Rise Chauffeurs Group</t>
        </is>
      </c>
      <c r="B730" s="14" t="inlineStr">
        <is>
          <t>Boutique Transit</t>
        </is>
      </c>
      <c r="C730" s="15" t="n">
        <v>64</v>
      </c>
      <c r="D730" s="13" t="inlineStr">
        <is>
          <t>Ford Transit 350</t>
        </is>
      </c>
      <c r="E730" s="13" t="inlineStr">
        <is>
          <t>Joshua Smith</t>
        </is>
      </c>
      <c r="F730" s="13" t="inlineStr">
        <is>
          <t>joshua@highrisechauffeursgroup.com</t>
        </is>
      </c>
      <c r="G730" s="13" t="inlineStr">
        <is>
          <t>702-555-9618</t>
        </is>
      </c>
      <c r="H730" s="14" t="inlineStr">
        <is>
          <t>DOT84814</t>
        </is>
      </c>
      <c r="I730" s="16" t="n">
        <v>0.096</v>
      </c>
      <c r="J730" s="13" t="inlineStr">
        <is>
          <t>Transit 114°F Electrical Module Overheat Wire Ground Fire Risk</t>
        </is>
      </c>
      <c r="K730" s="14" t="inlineStr">
        <is>
          <t>Warm Prospect</t>
        </is>
      </c>
      <c r="L730" s="17">
        <f>IF(C730&gt;0, 99 + (C730 * 2.5), 0)</f>
        <v/>
      </c>
    </row>
    <row r="731">
      <c r="A731" s="8" t="inlineStr">
        <is>
          <t>Henderson Comfort Heating Group</t>
        </is>
      </c>
      <c r="B731" s="9" t="inlineStr">
        <is>
          <t>HVAC/Plumbing</t>
        </is>
      </c>
      <c r="C731" s="10" t="n">
        <v>94</v>
      </c>
      <c r="D731" s="8" t="inlineStr">
        <is>
          <t>Ford Transit 250</t>
        </is>
      </c>
      <c r="E731" s="8" t="inlineStr">
        <is>
          <t>John Martinez</t>
        </is>
      </c>
      <c r="F731" s="8" t="inlineStr">
        <is>
          <t>john@hendersoncomfortheatinggroup.com</t>
        </is>
      </c>
      <c r="G731" s="8" t="inlineStr">
        <is>
          <t>702-555-2998</t>
        </is>
      </c>
      <c r="H731" s="9" t="inlineStr">
        <is>
          <t>DOT61664</t>
        </is>
      </c>
      <c r="I731" s="11" t="n">
        <v>0.156</v>
      </c>
      <c r="J731" s="8" t="inlineStr">
        <is>
          <t>Transit 114°F Electrical Module Overheat Wire Ground Fire Risk</t>
        </is>
      </c>
      <c r="K731" s="9" t="inlineStr">
        <is>
          <t>Warm Prospect</t>
        </is>
      </c>
      <c r="L731" s="12">
        <f>IF(C731&gt;0, 99 + (C731 * 2.5), 0)</f>
        <v/>
      </c>
    </row>
    <row r="732">
      <c r="A732" s="13" t="inlineStr">
        <is>
          <t>Red Rock Electric &amp; Solar Inc</t>
        </is>
      </c>
      <c r="B732" s="14" t="inlineStr">
        <is>
          <t>Electrical Services</t>
        </is>
      </c>
      <c r="C732" s="15" t="n">
        <v>132</v>
      </c>
      <c r="D732" s="13" t="inlineStr">
        <is>
          <t>Ram ProMaster 1500</t>
        </is>
      </c>
      <c r="E732" s="13" t="inlineStr">
        <is>
          <t>Donald Rodriguez</t>
        </is>
      </c>
      <c r="F732" s="13" t="inlineStr">
        <is>
          <t>donald@redrockelectricsolarinc.com</t>
        </is>
      </c>
      <c r="G732" s="13" t="inlineStr">
        <is>
          <t>702-555-1095</t>
        </is>
      </c>
      <c r="H732" s="14" t="inlineStr">
        <is>
          <t>DOT53178</t>
        </is>
      </c>
      <c r="I732" s="16" t="n">
        <v>0.341</v>
      </c>
      <c r="J732" s="13" t="inlineStr">
        <is>
          <t>ProMaster Brake Line Rubbing Collision Abrasion Leak</t>
        </is>
      </c>
      <c r="K732" s="14" t="inlineStr">
        <is>
          <t>Audit Run</t>
        </is>
      </c>
      <c r="L732" s="17">
        <f>IF(C732&gt;0, 99 + (C732 * 2.5), 0)</f>
        <v/>
      </c>
    </row>
    <row r="733">
      <c r="A733" s="8" t="inlineStr">
        <is>
          <t>Valley Electric Pros Group</t>
        </is>
      </c>
      <c r="B733" s="9" t="inlineStr">
        <is>
          <t>Electrical Services</t>
        </is>
      </c>
      <c r="C733" s="10" t="n">
        <v>64</v>
      </c>
      <c r="D733" s="8" t="inlineStr">
        <is>
          <t>Chevy Express 3500</t>
        </is>
      </c>
      <c r="E733" s="8" t="inlineStr">
        <is>
          <t>Michael Martinez</t>
        </is>
      </c>
      <c r="F733" s="8" t="inlineStr">
        <is>
          <t>michael@valleyelectricprosgroup.com</t>
        </is>
      </c>
      <c r="G733" s="8" t="inlineStr">
        <is>
          <t>702-555-6294</t>
        </is>
      </c>
      <c r="H733" s="9" t="inlineStr">
        <is>
          <t>DOT17279</t>
        </is>
      </c>
      <c r="I733" s="11" t="n">
        <v>0.271</v>
      </c>
      <c r="J733" s="8" t="inlineStr">
        <is>
          <t>Express Engine Bay Hose Thermal Crack Hazard</t>
        </is>
      </c>
      <c r="K733" s="9" t="inlineStr">
        <is>
          <t>Audit Run</t>
        </is>
      </c>
      <c r="L733" s="12">
        <f>IF(C733&gt;0, 99 + (C733 * 2.5), 0)</f>
        <v/>
      </c>
    </row>
    <row r="734">
      <c r="A734" s="13" t="inlineStr">
        <is>
          <t>Titan Shuttles LLC</t>
        </is>
      </c>
      <c r="B734" s="14" t="inlineStr">
        <is>
          <t>Boutique Transit</t>
        </is>
      </c>
      <c r="C734" s="15" t="n">
        <v>55</v>
      </c>
      <c r="D734" s="13" t="inlineStr">
        <is>
          <t>Mercedes-Benz Sprinter 3500</t>
        </is>
      </c>
      <c r="E734" s="13" t="inlineStr">
        <is>
          <t>Thomas Gonzalez</t>
        </is>
      </c>
      <c r="F734" s="13" t="inlineStr">
        <is>
          <t>thomas@titanshuttlesllc.com</t>
        </is>
      </c>
      <c r="G734" s="13" t="inlineStr">
        <is>
          <t>702-555-2461</t>
        </is>
      </c>
      <c r="H734" s="14" t="inlineStr">
        <is>
          <t>DOT12688</t>
        </is>
      </c>
      <c r="I734" s="16" t="n">
        <v>0.304</v>
      </c>
      <c r="J734" s="13" t="inlineStr">
        <is>
          <t>Sprinter AC Comp Condensation Drain Backup Wiring Short</t>
        </is>
      </c>
      <c r="K734" s="14" t="inlineStr">
        <is>
          <t>Warm Prospect</t>
        </is>
      </c>
      <c r="L734" s="17">
        <f>IF(C734&gt;0, 99 + (C734 * 2.5), 0)</f>
        <v/>
      </c>
    </row>
    <row r="735">
      <c r="A735" s="8" t="inlineStr">
        <is>
          <t>Henderson Wiring Solutions LLC</t>
        </is>
      </c>
      <c r="B735" s="9" t="inlineStr">
        <is>
          <t>Electrical Services</t>
        </is>
      </c>
      <c r="C735" s="10" t="n">
        <v>40</v>
      </c>
      <c r="D735" s="8" t="inlineStr">
        <is>
          <t>Chevy Express 3500</t>
        </is>
      </c>
      <c r="E735" s="8" t="inlineStr">
        <is>
          <t>Christopher Thomas</t>
        </is>
      </c>
      <c r="F735" s="8" t="inlineStr">
        <is>
          <t>christopher@hendersonwiringsolutionsllc.com</t>
        </is>
      </c>
      <c r="G735" s="8" t="inlineStr">
        <is>
          <t>702-555-8083</t>
        </is>
      </c>
      <c r="H735" s="9" t="inlineStr">
        <is>
          <t>DOT50645</t>
        </is>
      </c>
      <c r="I735" s="11" t="n">
        <v>0.32</v>
      </c>
      <c r="J735" s="8" t="inlineStr">
        <is>
          <t>Express Engine Bay Hose Thermal Crack Hazard</t>
        </is>
      </c>
      <c r="K735" s="9" t="inlineStr">
        <is>
          <t>Audit Run</t>
        </is>
      </c>
      <c r="L735" s="12">
        <f>IF(C735&gt;0, 99 + (C735 * 2.5), 0)</f>
        <v/>
      </c>
    </row>
    <row r="736">
      <c r="A736" s="13" t="inlineStr">
        <is>
          <t>Valley Mechanical Services Inc</t>
        </is>
      </c>
      <c r="B736" s="14" t="inlineStr">
        <is>
          <t>HVAC/Plumbing</t>
        </is>
      </c>
      <c r="C736" s="15" t="n">
        <v>141</v>
      </c>
      <c r="D736" s="13" t="inlineStr">
        <is>
          <t>Ford Transit 150</t>
        </is>
      </c>
      <c r="E736" s="13" t="inlineStr">
        <is>
          <t>Richard Thomas</t>
        </is>
      </c>
      <c r="F736" s="13" t="inlineStr">
        <is>
          <t>richard@valleymechanicalservicesinc.com</t>
        </is>
      </c>
      <c r="G736" s="13" t="inlineStr">
        <is>
          <t>702-555-8298</t>
        </is>
      </c>
      <c r="H736" s="14" t="inlineStr">
        <is>
          <t>DOT60867</t>
        </is>
      </c>
      <c r="I736" s="16" t="n">
        <v>0.188</v>
      </c>
      <c r="J736" s="13" t="inlineStr">
        <is>
          <t>Transit 114°F Electrical Module Overheat Wire Ground Fire Risk</t>
        </is>
      </c>
      <c r="K736" s="14" t="inlineStr">
        <is>
          <t>Audit Run</t>
        </is>
      </c>
      <c r="L736" s="17">
        <f>IF(C736&gt;0, 99 + (C736 * 2.5), 0)</f>
        <v/>
      </c>
    </row>
    <row r="737">
      <c r="A737" s="8" t="inlineStr">
        <is>
          <t>Titan Shuttles LLC</t>
        </is>
      </c>
      <c r="B737" s="9" t="inlineStr">
        <is>
          <t>Boutique Transit</t>
        </is>
      </c>
      <c r="C737" s="10" t="n">
        <v>57</v>
      </c>
      <c r="D737" s="8" t="inlineStr">
        <is>
          <t>Mercedes-Benz Sprinter 3500</t>
        </is>
      </c>
      <c r="E737" s="8" t="inlineStr">
        <is>
          <t>Mark Wilson</t>
        </is>
      </c>
      <c r="F737" s="8" t="inlineStr">
        <is>
          <t>mark@titanshuttlesllc.com</t>
        </is>
      </c>
      <c r="G737" s="8" t="inlineStr">
        <is>
          <t>702-555-2522</t>
        </is>
      </c>
      <c r="H737" s="9" t="inlineStr">
        <is>
          <t>DOT15300</t>
        </is>
      </c>
      <c r="I737" s="11" t="n">
        <v>0.199</v>
      </c>
      <c r="J737" s="8" t="inlineStr">
        <is>
          <t>Sprinter AC Comp Condensation Drain Backup Wiring Short</t>
        </is>
      </c>
      <c r="K737" s="9" t="inlineStr">
        <is>
          <t>Warm Prospect</t>
        </is>
      </c>
      <c r="L737" s="12">
        <f>IF(C737&gt;0, 99 + (C737 * 2.5), 0)</f>
        <v/>
      </c>
    </row>
    <row r="738">
      <c r="A738" s="13" t="inlineStr">
        <is>
          <t>Sunset Charter Buses Group</t>
        </is>
      </c>
      <c r="B738" s="14" t="inlineStr">
        <is>
          <t>Boutique Transit</t>
        </is>
      </c>
      <c r="C738" s="15" t="n">
        <v>49</v>
      </c>
      <c r="D738" s="13" t="inlineStr">
        <is>
          <t>Ford Transit 350</t>
        </is>
      </c>
      <c r="E738" s="13" t="inlineStr">
        <is>
          <t>Steven Taylor</t>
        </is>
      </c>
      <c r="F738" s="13" t="inlineStr">
        <is>
          <t>steven@sunsetcharterbusesgroup.com</t>
        </is>
      </c>
      <c r="G738" s="13" t="inlineStr">
        <is>
          <t>702-555-9596</t>
        </is>
      </c>
      <c r="H738" s="14" t="inlineStr">
        <is>
          <t>DOT21006</t>
        </is>
      </c>
      <c r="I738" s="16" t="n">
        <v>0.13</v>
      </c>
      <c r="J738" s="13" t="inlineStr">
        <is>
          <t>Transit 114°F Electrical Module Overheat Wire Ground Fire Risk</t>
        </is>
      </c>
      <c r="K738" s="14" t="inlineStr">
        <is>
          <t>Warm Prospect</t>
        </is>
      </c>
      <c r="L738" s="17">
        <f>IF(C738&gt;0, 99 + (C738 * 2.5), 0)</f>
        <v/>
      </c>
    </row>
    <row r="739">
      <c r="A739" s="8" t="inlineStr">
        <is>
          <t>Spring Valley Comfort Heating LLC</t>
        </is>
      </c>
      <c r="B739" s="9" t="inlineStr">
        <is>
          <t>HVAC/Plumbing</t>
        </is>
      </c>
      <c r="C739" s="10" t="n">
        <v>42</v>
      </c>
      <c r="D739" s="8" t="inlineStr">
        <is>
          <t>Ford Transit 350</t>
        </is>
      </c>
      <c r="E739" s="8" t="inlineStr">
        <is>
          <t>Christopher Davis</t>
        </is>
      </c>
      <c r="F739" s="8" t="inlineStr">
        <is>
          <t>christopher@springvalleycomfortheatingllc.com</t>
        </is>
      </c>
      <c r="G739" s="8" t="inlineStr">
        <is>
          <t>702-555-9570</t>
        </is>
      </c>
      <c r="H739" s="9" t="inlineStr">
        <is>
          <t>DOT66063</t>
        </is>
      </c>
      <c r="I739" s="11" t="n">
        <v>0.132</v>
      </c>
      <c r="J739" s="8" t="inlineStr">
        <is>
          <t>Transit 114°F Electrical Module Overheat Wire Ground Fire Risk</t>
        </is>
      </c>
      <c r="K739" s="9" t="inlineStr">
        <is>
          <t>Warm Prospect</t>
        </is>
      </c>
      <c r="L739" s="12">
        <f>IF(C739&gt;0, 99 + (C739 * 2.5), 0)</f>
        <v/>
      </c>
    </row>
    <row r="740">
      <c r="A740" s="13" t="inlineStr">
        <is>
          <t>Apex Shuttles Group</t>
        </is>
      </c>
      <c r="B740" s="14" t="inlineStr">
        <is>
          <t>Boutique Transit</t>
        </is>
      </c>
      <c r="C740" s="15" t="n">
        <v>140</v>
      </c>
      <c r="D740" s="13" t="inlineStr">
        <is>
          <t>Mercedes-Benz Sprinter 2500</t>
        </is>
      </c>
      <c r="E740" s="13" t="inlineStr">
        <is>
          <t>Mark Wilson</t>
        </is>
      </c>
      <c r="F740" s="13" t="inlineStr">
        <is>
          <t>mark@apexshuttlesgroup.com</t>
        </is>
      </c>
      <c r="G740" s="13" t="inlineStr">
        <is>
          <t>702-555-2548</t>
        </is>
      </c>
      <c r="H740" s="14" t="inlineStr">
        <is>
          <t>DOT70903</t>
        </is>
      </c>
      <c r="I740" s="16" t="n">
        <v>0.245</v>
      </c>
      <c r="J740" s="13" t="inlineStr">
        <is>
          <t>Sprinter AC Comp Condensation Drain Backup Wiring Short</t>
        </is>
      </c>
      <c r="K740" s="14" t="inlineStr">
        <is>
          <t>Audit Run</t>
        </is>
      </c>
      <c r="L740" s="17">
        <f>IF(C740&gt;0, 99 + (C740 * 2.5), 0)</f>
        <v/>
      </c>
    </row>
    <row r="741">
      <c r="A741" s="8" t="inlineStr">
        <is>
          <t>Valley Electrical Contractors Group</t>
        </is>
      </c>
      <c r="B741" s="9" t="inlineStr">
        <is>
          <t>Electrical Services</t>
        </is>
      </c>
      <c r="C741" s="10" t="n">
        <v>138</v>
      </c>
      <c r="D741" s="8" t="inlineStr">
        <is>
          <t>Chevy Express 2500</t>
        </is>
      </c>
      <c r="E741" s="8" t="inlineStr">
        <is>
          <t>John Brown</t>
        </is>
      </c>
      <c r="F741" s="8" t="inlineStr">
        <is>
          <t>john@valleyelectricalcontractorsgroup.com</t>
        </is>
      </c>
      <c r="G741" s="8" t="inlineStr">
        <is>
          <t>702-555-8583</t>
        </is>
      </c>
      <c r="H741" s="9" t="inlineStr">
        <is>
          <t>DOT33534</t>
        </is>
      </c>
      <c r="I741" s="11" t="n">
        <v>0.284</v>
      </c>
      <c r="J741" s="8" t="inlineStr">
        <is>
          <t>Express Engine Bay Hose Thermal Crack Hazard</t>
        </is>
      </c>
      <c r="K741" s="9" t="inlineStr">
        <is>
          <t>Warm Prospect</t>
        </is>
      </c>
      <c r="L741" s="12">
        <f>IF(C741&gt;0, 99 + (C741 * 2.5), 0)</f>
        <v/>
      </c>
    </row>
    <row r="742">
      <c r="A742" s="13" t="inlineStr">
        <is>
          <t>Apex Comfort Heating Group</t>
        </is>
      </c>
      <c r="B742" s="14" t="inlineStr">
        <is>
          <t>HVAC/Plumbing</t>
        </is>
      </c>
      <c r="C742" s="15" t="n">
        <v>90</v>
      </c>
      <c r="D742" s="13" t="inlineStr">
        <is>
          <t>Ford Transit 150</t>
        </is>
      </c>
      <c r="E742" s="13" t="inlineStr">
        <is>
          <t>Joshua Anderson</t>
        </is>
      </c>
      <c r="F742" s="13" t="inlineStr">
        <is>
          <t>joshua@apexcomfortheatinggroup.com</t>
        </is>
      </c>
      <c r="G742" s="13" t="inlineStr">
        <is>
          <t>702-555-8371</t>
        </is>
      </c>
      <c r="H742" s="14" t="inlineStr">
        <is>
          <t>DOT91764</t>
        </is>
      </c>
      <c r="I742" s="16" t="n">
        <v>0.29</v>
      </c>
      <c r="J742" s="13" t="inlineStr">
        <is>
          <t>Transit 114°F Electrical Module Overheat Wire Ground Fire Risk</t>
        </is>
      </c>
      <c r="K742" s="14" t="inlineStr">
        <is>
          <t>Warm Prospect</t>
        </is>
      </c>
      <c r="L742" s="17">
        <f>IF(C742&gt;0, 99 + (C742 * 2.5), 0)</f>
        <v/>
      </c>
    </row>
    <row r="743">
      <c r="A743" s="8" t="inlineStr">
        <is>
          <t>Sunset Plumbing &amp; Drain Inc</t>
        </is>
      </c>
      <c r="B743" s="9" t="inlineStr">
        <is>
          <t>HVAC/Plumbing</t>
        </is>
      </c>
      <c r="C743" s="10" t="n">
        <v>76</v>
      </c>
      <c r="D743" s="8" t="inlineStr">
        <is>
          <t>Chevy Express 2500</t>
        </is>
      </c>
      <c r="E743" s="8" t="inlineStr">
        <is>
          <t>Robert Wilson</t>
        </is>
      </c>
      <c r="F743" s="8" t="inlineStr">
        <is>
          <t>robert@sunsetplumbingdraininc.com</t>
        </is>
      </c>
      <c r="G743" s="8" t="inlineStr">
        <is>
          <t>702-555-9755</t>
        </is>
      </c>
      <c r="H743" s="9" t="inlineStr">
        <is>
          <t>DOT12348</t>
        </is>
      </c>
      <c r="I743" s="11" t="n">
        <v>0.042</v>
      </c>
      <c r="J743" s="8" t="inlineStr">
        <is>
          <t>Express Engine Bay Hose Thermal Crack Hazard</t>
        </is>
      </c>
      <c r="K743" s="9" t="inlineStr">
        <is>
          <t>Warm Prospect</t>
        </is>
      </c>
      <c r="L743" s="12">
        <f>IF(C743&gt;0, 99 + (C743 * 2.5), 0)</f>
        <v/>
      </c>
    </row>
    <row r="744">
      <c r="A744" s="13" t="inlineStr">
        <is>
          <t>Red Rock Mechanical Services LLC</t>
        </is>
      </c>
      <c r="B744" s="14" t="inlineStr">
        <is>
          <t>HVAC/Plumbing</t>
        </is>
      </c>
      <c r="C744" s="15" t="n">
        <v>113</v>
      </c>
      <c r="D744" s="13" t="inlineStr">
        <is>
          <t>GMC Savana 2500</t>
        </is>
      </c>
      <c r="E744" s="13" t="inlineStr">
        <is>
          <t>Kenneth Thomas</t>
        </is>
      </c>
      <c r="F744" s="13" t="inlineStr">
        <is>
          <t>kenneth@redrockmechanicalservicesllc.com</t>
        </is>
      </c>
      <c r="G744" s="13" t="inlineStr">
        <is>
          <t>702-555-5961</t>
        </is>
      </c>
      <c r="H744" s="14" t="inlineStr">
        <is>
          <t>DOT91067</t>
        </is>
      </c>
      <c r="I744" s="16" t="n">
        <v>0.292</v>
      </c>
      <c r="J744" s="13" t="inlineStr">
        <is>
          <t>Savana Desert Fuel Line Seal Degradation Failure</t>
        </is>
      </c>
      <c r="K744" s="14" t="inlineStr">
        <is>
          <t>Audit Run</t>
        </is>
      </c>
      <c r="L744" s="17">
        <f>IF(C744&gt;0, 99 + (C744 * 2.5), 0)</f>
        <v/>
      </c>
    </row>
    <row r="745">
      <c r="A745" s="8" t="inlineStr">
        <is>
          <t>Clark County Electric Pros Group</t>
        </is>
      </c>
      <c r="B745" s="9" t="inlineStr">
        <is>
          <t>Electrical Services</t>
        </is>
      </c>
      <c r="C745" s="10" t="n">
        <v>87</v>
      </c>
      <c r="D745" s="8" t="inlineStr">
        <is>
          <t>Ram ProMaster 1500</t>
        </is>
      </c>
      <c r="E745" s="8" t="inlineStr">
        <is>
          <t>James Jones</t>
        </is>
      </c>
      <c r="F745" s="8" t="inlineStr">
        <is>
          <t>james@clarkcountyelectricprosgroup.com</t>
        </is>
      </c>
      <c r="G745" s="8" t="inlineStr">
        <is>
          <t>702-555-3213</t>
        </is>
      </c>
      <c r="H745" s="9" t="inlineStr">
        <is>
          <t>DOT11818</t>
        </is>
      </c>
      <c r="I745" s="11" t="n">
        <v>0.099</v>
      </c>
      <c r="J745" s="8" t="inlineStr">
        <is>
          <t>ProMaster Brake Line Rubbing Collision Abrasion Leak</t>
        </is>
      </c>
      <c r="K745" s="9" t="inlineStr">
        <is>
          <t>Warm Prospect</t>
        </is>
      </c>
      <c r="L745" s="12">
        <f>IF(C745&gt;0, 99 + (C745 * 2.5), 0)</f>
        <v/>
      </c>
    </row>
    <row r="746">
      <c r="A746" s="13" t="inlineStr">
        <is>
          <t>Sunset Shuttles Inc</t>
        </is>
      </c>
      <c r="B746" s="14" t="inlineStr">
        <is>
          <t>Boutique Transit</t>
        </is>
      </c>
      <c r="C746" s="15" t="n">
        <v>47</v>
      </c>
      <c r="D746" s="13" t="inlineStr">
        <is>
          <t>Mercedes-Benz Sprinter 3500</t>
        </is>
      </c>
      <c r="E746" s="13" t="inlineStr">
        <is>
          <t>Thomas Wilson</t>
        </is>
      </c>
      <c r="F746" s="13" t="inlineStr">
        <is>
          <t>thomas@sunsetshuttlesinc.com</t>
        </is>
      </c>
      <c r="G746" s="13" t="inlineStr">
        <is>
          <t>702-555-9824</t>
        </is>
      </c>
      <c r="H746" s="14" t="inlineStr">
        <is>
          <t>DOT35023</t>
        </is>
      </c>
      <c r="I746" s="16" t="n">
        <v>0.067</v>
      </c>
      <c r="J746" s="13" t="inlineStr">
        <is>
          <t>Sprinter AC Comp Condensation Drain Backup Wiring Short</t>
        </is>
      </c>
      <c r="K746" s="14" t="inlineStr">
        <is>
          <t>Warm Prospect</t>
        </is>
      </c>
      <c r="L746" s="17">
        <f>IF(C746&gt;0, 99 + (C746 * 2.5), 0)</f>
        <v/>
      </c>
    </row>
    <row r="747">
      <c r="A747" s="8" t="inlineStr">
        <is>
          <t>First Choice Comfort Heating Inc</t>
        </is>
      </c>
      <c r="B747" s="9" t="inlineStr">
        <is>
          <t>HVAC/Plumbing</t>
        </is>
      </c>
      <c r="C747" s="10" t="n">
        <v>52</v>
      </c>
      <c r="D747" s="8" t="inlineStr">
        <is>
          <t>Ford Transit 250</t>
        </is>
      </c>
      <c r="E747" s="8" t="inlineStr">
        <is>
          <t>David Anderson</t>
        </is>
      </c>
      <c r="F747" s="8" t="inlineStr">
        <is>
          <t>david@firstchoicecomfortheatinginc.com</t>
        </is>
      </c>
      <c r="G747" s="8" t="inlineStr">
        <is>
          <t>702-555-8947</t>
        </is>
      </c>
      <c r="H747" s="9" t="inlineStr">
        <is>
          <t>DOT71799</t>
        </is>
      </c>
      <c r="I747" s="11" t="n">
        <v>0.046</v>
      </c>
      <c r="J747" s="8" t="inlineStr">
        <is>
          <t>Transit 114°F Electrical Module Overheat Wire Ground Fire Risk</t>
        </is>
      </c>
      <c r="K747" s="9" t="inlineStr">
        <is>
          <t>Warm Prospect</t>
        </is>
      </c>
      <c r="L747" s="12">
        <f>IF(C747&gt;0, 99 + (C747 * 2.5), 0)</f>
        <v/>
      </c>
    </row>
    <row r="748">
      <c r="A748" s="13" t="inlineStr">
        <is>
          <t>Sunset Airport Express LLC</t>
        </is>
      </c>
      <c r="B748" s="14" t="inlineStr">
        <is>
          <t>Boutique Transit</t>
        </is>
      </c>
      <c r="C748" s="15" t="n">
        <v>110</v>
      </c>
      <c r="D748" s="13" t="inlineStr">
        <is>
          <t>Ford Transit 350</t>
        </is>
      </c>
      <c r="E748" s="13" t="inlineStr">
        <is>
          <t>Michael Hernandez</t>
        </is>
      </c>
      <c r="F748" s="13" t="inlineStr">
        <is>
          <t>michael@sunsetairportexpressllc.com</t>
        </is>
      </c>
      <c r="G748" s="13" t="inlineStr">
        <is>
          <t>702-555-1129</t>
        </is>
      </c>
      <c r="H748" s="14" t="inlineStr">
        <is>
          <t>DOT23456</t>
        </is>
      </c>
      <c r="I748" s="16" t="n">
        <v>0.235</v>
      </c>
      <c r="J748" s="13" t="inlineStr">
        <is>
          <t>Transit 114°F Electrical Module Overheat Wire Ground Fire Risk</t>
        </is>
      </c>
      <c r="K748" s="14" t="inlineStr">
        <is>
          <t>Warm Prospect</t>
        </is>
      </c>
      <c r="L748" s="17">
        <f>IF(C748&gt;0, 99 + (C748 * 2.5), 0)</f>
        <v/>
      </c>
    </row>
    <row r="749">
      <c r="A749" s="8" t="inlineStr">
        <is>
          <t>Summerlin Wiring Solutions Group</t>
        </is>
      </c>
      <c r="B749" s="9" t="inlineStr">
        <is>
          <t>Electrical Services</t>
        </is>
      </c>
      <c r="C749" s="10" t="n">
        <v>19</v>
      </c>
      <c r="D749" s="8" t="inlineStr">
        <is>
          <t>Ram ProMaster 2500</t>
        </is>
      </c>
      <c r="E749" s="8" t="inlineStr">
        <is>
          <t>Steven Gonzalez</t>
        </is>
      </c>
      <c r="F749" s="8" t="inlineStr">
        <is>
          <t>steven@summerlinwiringsolutionsgroup.com</t>
        </is>
      </c>
      <c r="G749" s="8" t="inlineStr">
        <is>
          <t>702-555-8964</t>
        </is>
      </c>
      <c r="H749" s="9" t="inlineStr">
        <is>
          <t>DOT77286</t>
        </is>
      </c>
      <c r="I749" s="11" t="n">
        <v>0.223</v>
      </c>
      <c r="J749" s="8" t="inlineStr">
        <is>
          <t>ProMaster Brake Line Rubbing Collision Abrasion Leak</t>
        </is>
      </c>
      <c r="K749" s="9" t="inlineStr">
        <is>
          <t>Audit Run</t>
        </is>
      </c>
      <c r="L749" s="12">
        <f>IF(C749&gt;0, 99 + (C749 * 2.5), 0)</f>
        <v/>
      </c>
    </row>
    <row r="750">
      <c r="A750" s="13" t="inlineStr">
        <is>
          <t>Spring Valley Tours &amp; Transit Inc</t>
        </is>
      </c>
      <c r="B750" s="14" t="inlineStr">
        <is>
          <t>Boutique Transit</t>
        </is>
      </c>
      <c r="C750" s="15" t="n">
        <v>25</v>
      </c>
      <c r="D750" s="13" t="inlineStr">
        <is>
          <t>Ford Transit 350</t>
        </is>
      </c>
      <c r="E750" s="13" t="inlineStr">
        <is>
          <t>Paul Smith</t>
        </is>
      </c>
      <c r="F750" s="13" t="inlineStr">
        <is>
          <t>paul@springvalleytourstransitinc.com</t>
        </is>
      </c>
      <c r="G750" s="13" t="inlineStr">
        <is>
          <t>702-555-7914</t>
        </is>
      </c>
      <c r="H750" s="14" t="inlineStr">
        <is>
          <t>DOT85550</t>
        </is>
      </c>
      <c r="I750" s="16" t="n">
        <v>0.138</v>
      </c>
      <c r="J750" s="13" t="inlineStr">
        <is>
          <t>Transit 114°F Electrical Module Overheat Wire Ground Fire Risk</t>
        </is>
      </c>
      <c r="K750" s="14" t="inlineStr">
        <is>
          <t>Warm Prospect</t>
        </is>
      </c>
      <c r="L750" s="17">
        <f>IF(C750&gt;0, 99 + (C750 * 2.5), 0)</f>
        <v/>
      </c>
    </row>
    <row r="751">
      <c r="A751" s="8" t="inlineStr">
        <is>
          <t>Spring Valley Electric Pros LLC</t>
        </is>
      </c>
      <c r="B751" s="9" t="inlineStr">
        <is>
          <t>Electrical Services</t>
        </is>
      </c>
      <c r="C751" s="10" t="n">
        <v>39</v>
      </c>
      <c r="D751" s="8" t="inlineStr">
        <is>
          <t>Ram ProMaster 1500</t>
        </is>
      </c>
      <c r="E751" s="8" t="inlineStr">
        <is>
          <t>Steven Martin</t>
        </is>
      </c>
      <c r="F751" s="8" t="inlineStr">
        <is>
          <t>steven@springvalleyelectricprosllc.com</t>
        </is>
      </c>
      <c r="G751" s="8" t="inlineStr">
        <is>
          <t>702-555-6681</t>
        </is>
      </c>
      <c r="H751" s="9" t="inlineStr">
        <is>
          <t>DOT68762</t>
        </is>
      </c>
      <c r="I751" s="11" t="n">
        <v>0.256</v>
      </c>
      <c r="J751" s="8" t="inlineStr">
        <is>
          <t>ProMaster Brake Line Rubbing Collision Abrasion Leak</t>
        </is>
      </c>
      <c r="K751" s="9" t="inlineStr">
        <is>
          <t>Warm Prospect</t>
        </is>
      </c>
      <c r="L751" s="12">
        <f>IF(C751&gt;0, 99 + (C751 * 2.5), 0)</f>
        <v/>
      </c>
    </row>
    <row r="752">
      <c r="A752" s="13" t="inlineStr">
        <is>
          <t>Mojave Mechanical Services Inc</t>
        </is>
      </c>
      <c r="B752" s="14" t="inlineStr">
        <is>
          <t>HVAC/Plumbing</t>
        </is>
      </c>
      <c r="C752" s="15" t="n">
        <v>98</v>
      </c>
      <c r="D752" s="13" t="inlineStr">
        <is>
          <t>GMC Savana 2500</t>
        </is>
      </c>
      <c r="E752" s="13" t="inlineStr">
        <is>
          <t>Donald Davis</t>
        </is>
      </c>
      <c r="F752" s="13" t="inlineStr">
        <is>
          <t>donald@mojavemechanicalservicesinc.com</t>
        </is>
      </c>
      <c r="G752" s="13" t="inlineStr">
        <is>
          <t>702-555-9317</t>
        </is>
      </c>
      <c r="H752" s="14" t="inlineStr">
        <is>
          <t>DOT38796</t>
        </is>
      </c>
      <c r="I752" s="16" t="n">
        <v>0.222</v>
      </c>
      <c r="J752" s="13" t="inlineStr">
        <is>
          <t>Savana Desert Fuel Line Seal Degradation Failure</t>
        </is>
      </c>
      <c r="K752" s="14" t="inlineStr">
        <is>
          <t>Warm Prospect</t>
        </is>
      </c>
      <c r="L752" s="17">
        <f>IF(C752&gt;0, 99 + (C752 * 2.5), 0)</f>
        <v/>
      </c>
    </row>
    <row r="753">
      <c r="A753" s="8" t="inlineStr">
        <is>
          <t>Summerlin Charter Buses Group</t>
        </is>
      </c>
      <c r="B753" s="9" t="inlineStr">
        <is>
          <t>Boutique Transit</t>
        </is>
      </c>
      <c r="C753" s="10" t="n">
        <v>43</v>
      </c>
      <c r="D753" s="8" t="inlineStr">
        <is>
          <t>Mercedes-Benz Sprinter 3500</t>
        </is>
      </c>
      <c r="E753" s="8" t="inlineStr">
        <is>
          <t>Christopher Gonzalez</t>
        </is>
      </c>
      <c r="F753" s="8" t="inlineStr">
        <is>
          <t>christopher@summerlincharterbusesgroup.com</t>
        </is>
      </c>
      <c r="G753" s="8" t="inlineStr">
        <is>
          <t>702-555-7829</t>
        </is>
      </c>
      <c r="H753" s="9" t="inlineStr">
        <is>
          <t>DOT98225</t>
        </is>
      </c>
      <c r="I753" s="11" t="n">
        <v>0.242</v>
      </c>
      <c r="J753" s="8" t="inlineStr">
        <is>
          <t>Sprinter AC Comp Condensation Drain Backup Wiring Short</t>
        </is>
      </c>
      <c r="K753" s="9" t="inlineStr">
        <is>
          <t>Warm Prospect</t>
        </is>
      </c>
      <c r="L753" s="12">
        <f>IF(C753&gt;0, 99 + (C753 * 2.5), 0)</f>
        <v/>
      </c>
    </row>
    <row r="754">
      <c r="A754" s="13" t="inlineStr">
        <is>
          <t>Henderson Power Systems Group</t>
        </is>
      </c>
      <c r="B754" s="14" t="inlineStr">
        <is>
          <t>Electrical Services</t>
        </is>
      </c>
      <c r="C754" s="15" t="n">
        <v>82</v>
      </c>
      <c r="D754" s="13" t="inlineStr">
        <is>
          <t>Chevy Express 3500</t>
        </is>
      </c>
      <c r="E754" s="13" t="inlineStr">
        <is>
          <t>James Thomas</t>
        </is>
      </c>
      <c r="F754" s="13" t="inlineStr">
        <is>
          <t>james@hendersonpowersystemsgroup.com</t>
        </is>
      </c>
      <c r="G754" s="13" t="inlineStr">
        <is>
          <t>702-555-3115</t>
        </is>
      </c>
      <c r="H754" s="14" t="inlineStr">
        <is>
          <t>DOT32713</t>
        </is>
      </c>
      <c r="I754" s="16" t="n">
        <v>0.102</v>
      </c>
      <c r="J754" s="13" t="inlineStr">
        <is>
          <t>Express Engine Bay Hose Thermal Crack Hazard</t>
        </is>
      </c>
      <c r="K754" s="14" t="inlineStr">
        <is>
          <t>Audit Run</t>
        </is>
      </c>
      <c r="L754" s="17">
        <f>IF(C754&gt;0, 99 + (C754 * 2.5), 0)</f>
        <v/>
      </c>
    </row>
    <row r="755">
      <c r="A755" s="8" t="inlineStr">
        <is>
          <t>Apex Wiring Solutions LLC</t>
        </is>
      </c>
      <c r="B755" s="9" t="inlineStr">
        <is>
          <t>Electrical Services</t>
        </is>
      </c>
      <c r="C755" s="10" t="n">
        <v>70</v>
      </c>
      <c r="D755" s="8" t="inlineStr">
        <is>
          <t>Ram ProMaster 2500</t>
        </is>
      </c>
      <c r="E755" s="8" t="inlineStr">
        <is>
          <t>Richard Moore</t>
        </is>
      </c>
      <c r="F755" s="8" t="inlineStr">
        <is>
          <t>richard@apexwiringsolutionsllc.com</t>
        </is>
      </c>
      <c r="G755" s="8" t="inlineStr">
        <is>
          <t>702-555-1770</t>
        </is>
      </c>
      <c r="H755" s="9" t="inlineStr">
        <is>
          <t>DOT12376</t>
        </is>
      </c>
      <c r="I755" s="11" t="n">
        <v>0.151</v>
      </c>
      <c r="J755" s="8" t="inlineStr">
        <is>
          <t>ProMaster Brake Line Rubbing Collision Abrasion Leak</t>
        </is>
      </c>
      <c r="K755" s="9" t="inlineStr">
        <is>
          <t>Warm Prospect</t>
        </is>
      </c>
      <c r="L755" s="12">
        <f>IF(C755&gt;0, 99 + (C755 * 2.5), 0)</f>
        <v/>
      </c>
    </row>
    <row r="756">
      <c r="A756" s="13" t="inlineStr">
        <is>
          <t>Vegas Valley Power Systems Inc</t>
        </is>
      </c>
      <c r="B756" s="14" t="inlineStr">
        <is>
          <t>Electrical Services</t>
        </is>
      </c>
      <c r="C756" s="15" t="n">
        <v>26</v>
      </c>
      <c r="D756" s="13" t="inlineStr">
        <is>
          <t>Chevy Express 2500</t>
        </is>
      </c>
      <c r="E756" s="13" t="inlineStr">
        <is>
          <t>Daniel Wilson</t>
        </is>
      </c>
      <c r="F756" s="13" t="inlineStr">
        <is>
          <t>daniel@vegasvalleypowersystemsinc.com</t>
        </is>
      </c>
      <c r="G756" s="13" t="inlineStr">
        <is>
          <t>702-555-2867</t>
        </is>
      </c>
      <c r="H756" s="14" t="inlineStr">
        <is>
          <t>DOT90945</t>
        </is>
      </c>
      <c r="I756" s="16" t="n">
        <v>0.11</v>
      </c>
      <c r="J756" s="13" t="inlineStr">
        <is>
          <t>Express Engine Bay Hose Thermal Crack Hazard</t>
        </is>
      </c>
      <c r="K756" s="14" t="inlineStr">
        <is>
          <t>Audit Run</t>
        </is>
      </c>
      <c r="L756" s="17">
        <f>IF(C756&gt;0, 99 + (C756 * 2.5), 0)</f>
        <v/>
      </c>
    </row>
    <row r="757">
      <c r="A757" s="8" t="inlineStr">
        <is>
          <t>First Choice HVAC Services LLC</t>
        </is>
      </c>
      <c r="B757" s="9" t="inlineStr">
        <is>
          <t>HVAC/Plumbing</t>
        </is>
      </c>
      <c r="C757" s="10" t="n">
        <v>21</v>
      </c>
      <c r="D757" s="8" t="inlineStr">
        <is>
          <t>Ford Transit 150</t>
        </is>
      </c>
      <c r="E757" s="8" t="inlineStr">
        <is>
          <t>Andrew Rodriguez</t>
        </is>
      </c>
      <c r="F757" s="8" t="inlineStr">
        <is>
          <t>andrew@firstchoicehvacservicesllc.com</t>
        </is>
      </c>
      <c r="G757" s="8" t="inlineStr">
        <is>
          <t>702-555-3476</t>
        </is>
      </c>
      <c r="H757" s="9" t="inlineStr">
        <is>
          <t>DOT77552</t>
        </is>
      </c>
      <c r="I757" s="11" t="n">
        <v>0.227</v>
      </c>
      <c r="J757" s="8" t="inlineStr">
        <is>
          <t>Transit 114°F Electrical Module Overheat Wire Ground Fire Risk</t>
        </is>
      </c>
      <c r="K757" s="9" t="inlineStr">
        <is>
          <t>Warm Prospect</t>
        </is>
      </c>
      <c r="L757" s="12">
        <f>IF(C757&gt;0, 99 + (C757 * 2.5), 0)</f>
        <v/>
      </c>
    </row>
    <row r="758">
      <c r="A758" s="13" t="inlineStr">
        <is>
          <t>Silver State Tours &amp; Transit LLC</t>
        </is>
      </c>
      <c r="B758" s="14" t="inlineStr">
        <is>
          <t>Boutique Transit</t>
        </is>
      </c>
      <c r="C758" s="15" t="n">
        <v>37</v>
      </c>
      <c r="D758" s="13" t="inlineStr">
        <is>
          <t>Mercedes-Benz Sprinter 2500</t>
        </is>
      </c>
      <c r="E758" s="13" t="inlineStr">
        <is>
          <t>Kenneth Martin</t>
        </is>
      </c>
      <c r="F758" s="13" t="inlineStr">
        <is>
          <t>kenneth@silverstatetourstransitllc.com</t>
        </is>
      </c>
      <c r="G758" s="13" t="inlineStr">
        <is>
          <t>702-555-2669</t>
        </is>
      </c>
      <c r="H758" s="14" t="inlineStr">
        <is>
          <t>DOT83724</t>
        </is>
      </c>
      <c r="I758" s="16" t="n">
        <v>0.053</v>
      </c>
      <c r="J758" s="13" t="inlineStr">
        <is>
          <t>Sprinter AC Comp Condensation Drain Backup Wiring Short</t>
        </is>
      </c>
      <c r="K758" s="14" t="inlineStr">
        <is>
          <t>Warm Prospect</t>
        </is>
      </c>
      <c r="L758" s="17">
        <f>IF(C758&gt;0, 99 + (C758 * 2.5), 0)</f>
        <v/>
      </c>
    </row>
    <row r="759">
      <c r="A759" s="8" t="inlineStr">
        <is>
          <t>Vegas Valley Air Conditioning Inc</t>
        </is>
      </c>
      <c r="B759" s="9" t="inlineStr">
        <is>
          <t>HVAC/Plumbing</t>
        </is>
      </c>
      <c r="C759" s="10" t="n">
        <v>50</v>
      </c>
      <c r="D759" s="8" t="inlineStr">
        <is>
          <t>Ford Transit 150</t>
        </is>
      </c>
      <c r="E759" s="8" t="inlineStr">
        <is>
          <t>Christopher Anderson</t>
        </is>
      </c>
      <c r="F759" s="8" t="inlineStr">
        <is>
          <t>christopher@vegasvalleyairconditioninginc.com</t>
        </is>
      </c>
      <c r="G759" s="8" t="inlineStr">
        <is>
          <t>702-555-9288</t>
        </is>
      </c>
      <c r="H759" s="9" t="inlineStr">
        <is>
          <t>DOT75325</t>
        </is>
      </c>
      <c r="I759" s="11" t="n">
        <v>0.267</v>
      </c>
      <c r="J759" s="8" t="inlineStr">
        <is>
          <t>Transit 114°F Electrical Module Overheat Wire Ground Fire Risk</t>
        </is>
      </c>
      <c r="K759" s="9" t="inlineStr">
        <is>
          <t>Warm Prospect</t>
        </is>
      </c>
      <c r="L759" s="12">
        <f>IF(C759&gt;0, 99 + (C759 * 2.5), 0)</f>
        <v/>
      </c>
    </row>
    <row r="760">
      <c r="A760" s="13" t="inlineStr">
        <is>
          <t>Vegas Valley HVAC Services LLC</t>
        </is>
      </c>
      <c r="B760" s="14" t="inlineStr">
        <is>
          <t>HVAC/Plumbing</t>
        </is>
      </c>
      <c r="C760" s="15" t="n">
        <v>41</v>
      </c>
      <c r="D760" s="13" t="inlineStr">
        <is>
          <t>Ford Transit 350</t>
        </is>
      </c>
      <c r="E760" s="13" t="inlineStr">
        <is>
          <t>Richard Anderson</t>
        </is>
      </c>
      <c r="F760" s="13" t="inlineStr">
        <is>
          <t>richard@vegasvalleyhvacservicesllc.com</t>
        </is>
      </c>
      <c r="G760" s="13" t="inlineStr">
        <is>
          <t>702-555-7811</t>
        </is>
      </c>
      <c r="H760" s="14" t="inlineStr">
        <is>
          <t>DOT10863</t>
        </is>
      </c>
      <c r="I760" s="16" t="n">
        <v>0.116</v>
      </c>
      <c r="J760" s="13" t="inlineStr">
        <is>
          <t>Transit 114°F Electrical Module Overheat Wire Ground Fire Risk</t>
        </is>
      </c>
      <c r="K760" s="14" t="inlineStr">
        <is>
          <t>Warm Prospect</t>
        </is>
      </c>
      <c r="L760" s="17">
        <f>IF(C760&gt;0, 99 + (C760 * 2.5), 0)</f>
        <v/>
      </c>
    </row>
    <row r="761">
      <c r="A761" s="8" t="inlineStr">
        <is>
          <t>Mojave Lighting &amp; Power Inc</t>
        </is>
      </c>
      <c r="B761" s="9" t="inlineStr">
        <is>
          <t>Electrical Services</t>
        </is>
      </c>
      <c r="C761" s="10" t="n">
        <v>78</v>
      </c>
      <c r="D761" s="8" t="inlineStr">
        <is>
          <t>Chevy Express 2500</t>
        </is>
      </c>
      <c r="E761" s="8" t="inlineStr">
        <is>
          <t>Matthew Wilson</t>
        </is>
      </c>
      <c r="F761" s="8" t="inlineStr">
        <is>
          <t>matthew@mojavelightingpowerinc.com</t>
        </is>
      </c>
      <c r="G761" s="8" t="inlineStr">
        <is>
          <t>702-555-6908</t>
        </is>
      </c>
      <c r="H761" s="9" t="inlineStr">
        <is>
          <t>DOT92502</t>
        </is>
      </c>
      <c r="I761" s="11" t="n">
        <v>0.246</v>
      </c>
      <c r="J761" s="8" t="inlineStr">
        <is>
          <t>Express Engine Bay Hose Thermal Crack Hazard</t>
        </is>
      </c>
      <c r="K761" s="9" t="inlineStr">
        <is>
          <t>Warm Prospect</t>
        </is>
      </c>
      <c r="L761" s="12">
        <f>IF(C761&gt;0, 99 + (C761 * 2.5), 0)</f>
        <v/>
      </c>
    </row>
    <row r="762">
      <c r="A762" s="13" t="inlineStr">
        <is>
          <t>Titan Airport Express Inc</t>
        </is>
      </c>
      <c r="B762" s="14" t="inlineStr">
        <is>
          <t>Boutique Transit</t>
        </is>
      </c>
      <c r="C762" s="15" t="n">
        <v>115</v>
      </c>
      <c r="D762" s="13" t="inlineStr">
        <is>
          <t>Mercedes-Benz Sprinter 3500</t>
        </is>
      </c>
      <c r="E762" s="13" t="inlineStr">
        <is>
          <t>Mark Anderson</t>
        </is>
      </c>
      <c r="F762" s="13" t="inlineStr">
        <is>
          <t>mark@titanairportexpressinc.com</t>
        </is>
      </c>
      <c r="G762" s="13" t="inlineStr">
        <is>
          <t>702-555-9456</t>
        </is>
      </c>
      <c r="H762" s="14" t="inlineStr">
        <is>
          <t>DOT99417</t>
        </is>
      </c>
      <c r="I762" s="16" t="n">
        <v>0.152</v>
      </c>
      <c r="J762" s="13" t="inlineStr">
        <is>
          <t>Sprinter AC Comp Condensation Drain Backup Wiring Short</t>
        </is>
      </c>
      <c r="K762" s="14" t="inlineStr">
        <is>
          <t>Warm Prospect</t>
        </is>
      </c>
      <c r="L762" s="17">
        <f>IF(C762&gt;0, 99 + (C762 * 2.5), 0)</f>
        <v/>
      </c>
    </row>
    <row r="763">
      <c r="A763" s="8" t="inlineStr">
        <is>
          <t>Red Rock Electric &amp; Solar Group</t>
        </is>
      </c>
      <c r="B763" s="9" t="inlineStr">
        <is>
          <t>Electrical Services</t>
        </is>
      </c>
      <c r="C763" s="10" t="n">
        <v>31</v>
      </c>
      <c r="D763" s="8" t="inlineStr">
        <is>
          <t>Chevy Express 2500</t>
        </is>
      </c>
      <c r="E763" s="8" t="inlineStr">
        <is>
          <t>Daniel Hernandez</t>
        </is>
      </c>
      <c r="F763" s="8" t="inlineStr">
        <is>
          <t>daniel@redrockelectricsolargroup.com</t>
        </is>
      </c>
      <c r="G763" s="8" t="inlineStr">
        <is>
          <t>702-555-7580</t>
        </is>
      </c>
      <c r="H763" s="9" t="inlineStr">
        <is>
          <t>DOT31538</t>
        </is>
      </c>
      <c r="I763" s="11" t="n">
        <v>0.175</v>
      </c>
      <c r="J763" s="8" t="inlineStr">
        <is>
          <t>Express Engine Bay Hose Thermal Crack Hazard</t>
        </is>
      </c>
      <c r="K763" s="9" t="inlineStr">
        <is>
          <t>Warm Prospect</t>
        </is>
      </c>
      <c r="L763" s="12">
        <f>IF(C763&gt;0, 99 + (C763 * 2.5), 0)</f>
        <v/>
      </c>
    </row>
    <row r="764">
      <c r="A764" s="13" t="inlineStr">
        <is>
          <t>Vegas Valley Mechanical Services Inc</t>
        </is>
      </c>
      <c r="B764" s="14" t="inlineStr">
        <is>
          <t>HVAC/Plumbing</t>
        </is>
      </c>
      <c r="C764" s="15" t="n">
        <v>24</v>
      </c>
      <c r="D764" s="13" t="inlineStr">
        <is>
          <t>Chevy Express 2500</t>
        </is>
      </c>
      <c r="E764" s="13" t="inlineStr">
        <is>
          <t>Paul Martinez</t>
        </is>
      </c>
      <c r="F764" s="13" t="inlineStr">
        <is>
          <t>paul@vegasvalleymechanicalservicesinc.com</t>
        </is>
      </c>
      <c r="G764" s="13" t="inlineStr">
        <is>
          <t>702-555-7869</t>
        </is>
      </c>
      <c r="H764" s="14" t="inlineStr">
        <is>
          <t>DOT62691</t>
        </is>
      </c>
      <c r="I764" s="16" t="n">
        <v>0.315</v>
      </c>
      <c r="J764" s="13" t="inlineStr">
        <is>
          <t>Express Engine Bay Hose Thermal Crack Hazard</t>
        </is>
      </c>
      <c r="K764" s="14" t="inlineStr">
        <is>
          <t>Audit Run</t>
        </is>
      </c>
      <c r="L764" s="17">
        <f>IF(C764&gt;0, 99 + (C764 * 2.5), 0)</f>
        <v/>
      </c>
    </row>
    <row r="765">
      <c r="A765" s="8" t="inlineStr">
        <is>
          <t>Clark County Electric Pros LLC</t>
        </is>
      </c>
      <c r="B765" s="9" t="inlineStr">
        <is>
          <t>Electrical Services</t>
        </is>
      </c>
      <c r="C765" s="10" t="n">
        <v>12</v>
      </c>
      <c r="D765" s="8" t="inlineStr">
        <is>
          <t>Ram ProMaster 2500</t>
        </is>
      </c>
      <c r="E765" s="8" t="inlineStr">
        <is>
          <t>Charles Taylor</t>
        </is>
      </c>
      <c r="F765" s="8" t="inlineStr">
        <is>
          <t>charles@clarkcountyelectricprosllc.com</t>
        </is>
      </c>
      <c r="G765" s="8" t="inlineStr">
        <is>
          <t>702-555-3406</t>
        </is>
      </c>
      <c r="H765" s="9" t="inlineStr">
        <is>
          <t>DOT62944</t>
        </is>
      </c>
      <c r="I765" s="11" t="n">
        <v>0.178</v>
      </c>
      <c r="J765" s="8" t="inlineStr">
        <is>
          <t>ProMaster Brake Line Rubbing Collision Abrasion Leak</t>
        </is>
      </c>
      <c r="K765" s="9" t="inlineStr">
        <is>
          <t>Warm Prospect</t>
        </is>
      </c>
      <c r="L765" s="12">
        <f>IF(C765&gt;0, 99 + (C765 * 2.5), 0)</f>
        <v/>
      </c>
    </row>
    <row r="766">
      <c r="A766" s="13" t="inlineStr">
        <is>
          <t>Las Vegas Logistics Group</t>
        </is>
      </c>
      <c r="B766" s="14" t="inlineStr">
        <is>
          <t>Boutique Transit</t>
        </is>
      </c>
      <c r="C766" s="15" t="n">
        <v>98</v>
      </c>
      <c r="D766" s="13" t="inlineStr">
        <is>
          <t>Mercedes-Benz Sprinter 3500</t>
        </is>
      </c>
      <c r="E766" s="13" t="inlineStr">
        <is>
          <t>Anthony Miller</t>
        </is>
      </c>
      <c r="F766" s="13" t="inlineStr">
        <is>
          <t>anthony@lasvegaslogisticsgroup.com</t>
        </is>
      </c>
      <c r="G766" s="13" t="inlineStr">
        <is>
          <t>702-555-5940</t>
        </is>
      </c>
      <c r="H766" s="14" t="inlineStr">
        <is>
          <t>DOT21046</t>
        </is>
      </c>
      <c r="I766" s="16" t="n">
        <v>0.051</v>
      </c>
      <c r="J766" s="13" t="inlineStr">
        <is>
          <t>Sprinter AC Comp Condensation Drain Backup Wiring Short</t>
        </is>
      </c>
      <c r="K766" s="14" t="inlineStr">
        <is>
          <t>Warm Prospect</t>
        </is>
      </c>
      <c r="L766" s="17">
        <f>IF(C766&gt;0, 99 + (C766 * 2.5), 0)</f>
        <v/>
      </c>
    </row>
    <row r="767">
      <c r="A767" s="8" t="inlineStr">
        <is>
          <t>Clark County Electric Pros Group</t>
        </is>
      </c>
      <c r="B767" s="9" t="inlineStr">
        <is>
          <t>Electrical Services</t>
        </is>
      </c>
      <c r="C767" s="10" t="n">
        <v>143</v>
      </c>
      <c r="D767" s="8" t="inlineStr">
        <is>
          <t>Chevy Express 3500</t>
        </is>
      </c>
      <c r="E767" s="8" t="inlineStr">
        <is>
          <t>Andrew Martinez</t>
        </is>
      </c>
      <c r="F767" s="8" t="inlineStr">
        <is>
          <t>andrew@clarkcountyelectricprosgroup.com</t>
        </is>
      </c>
      <c r="G767" s="8" t="inlineStr">
        <is>
          <t>702-555-4501</t>
        </is>
      </c>
      <c r="H767" s="9" t="inlineStr">
        <is>
          <t>DOT22166</t>
        </is>
      </c>
      <c r="I767" s="11" t="n">
        <v>0.199</v>
      </c>
      <c r="J767" s="8" t="inlineStr">
        <is>
          <t>Express Engine Bay Hose Thermal Crack Hazard</t>
        </is>
      </c>
      <c r="K767" s="9" t="inlineStr">
        <is>
          <t>Warm Prospect</t>
        </is>
      </c>
      <c r="L767" s="12">
        <f>IF(C767&gt;0, 99 + (C767 * 2.5), 0)</f>
        <v/>
      </c>
    </row>
    <row r="768">
      <c r="A768" s="13" t="inlineStr">
        <is>
          <t>Valley Charter Buses Inc</t>
        </is>
      </c>
      <c r="B768" s="14" t="inlineStr">
        <is>
          <t>Boutique Transit</t>
        </is>
      </c>
      <c r="C768" s="15" t="n">
        <v>17</v>
      </c>
      <c r="D768" s="13" t="inlineStr">
        <is>
          <t>Mercedes-Benz Sprinter 2500</t>
        </is>
      </c>
      <c r="E768" s="13" t="inlineStr">
        <is>
          <t>Andrew Jackson</t>
        </is>
      </c>
      <c r="F768" s="13" t="inlineStr">
        <is>
          <t>andrew@valleycharterbusesinc.com</t>
        </is>
      </c>
      <c r="G768" s="13" t="inlineStr">
        <is>
          <t>702-555-5238</t>
        </is>
      </c>
      <c r="H768" s="14" t="inlineStr">
        <is>
          <t>DOT41632</t>
        </is>
      </c>
      <c r="I768" s="16" t="n">
        <v>0.298</v>
      </c>
      <c r="J768" s="13" t="inlineStr">
        <is>
          <t>Sprinter AC Comp Condensation Drain Backup Wiring Short</t>
        </is>
      </c>
      <c r="K768" s="14" t="inlineStr">
        <is>
          <t>Warm Prospect</t>
        </is>
      </c>
      <c r="L768" s="17">
        <f>IF(C768&gt;0, 99 + (C768 * 2.5), 0)</f>
        <v/>
      </c>
    </row>
    <row r="769">
      <c r="A769" s="8" t="inlineStr">
        <is>
          <t>Titan Logistics Inc</t>
        </is>
      </c>
      <c r="B769" s="9" t="inlineStr">
        <is>
          <t>Boutique Transit</t>
        </is>
      </c>
      <c r="C769" s="10" t="n">
        <v>25</v>
      </c>
      <c r="D769" s="8" t="inlineStr">
        <is>
          <t>Ford Transit 350</t>
        </is>
      </c>
      <c r="E769" s="8" t="inlineStr">
        <is>
          <t>Matthew Rodriguez</t>
        </is>
      </c>
      <c r="F769" s="8" t="inlineStr">
        <is>
          <t>matthew@titanlogisticsinc.com</t>
        </is>
      </c>
      <c r="G769" s="8" t="inlineStr">
        <is>
          <t>702-555-9314</t>
        </is>
      </c>
      <c r="H769" s="9" t="inlineStr">
        <is>
          <t>DOT56461</t>
        </is>
      </c>
      <c r="I769" s="11" t="n">
        <v>0.078</v>
      </c>
      <c r="J769" s="8" t="inlineStr">
        <is>
          <t>Transit 114°F Electrical Module Overheat Wire Ground Fire Risk</t>
        </is>
      </c>
      <c r="K769" s="9" t="inlineStr">
        <is>
          <t>Warm Prospect</t>
        </is>
      </c>
      <c r="L769" s="12">
        <f>IF(C769&gt;0, 99 + (C769 * 2.5), 0)</f>
        <v/>
      </c>
    </row>
    <row r="770">
      <c r="A770" s="13" t="inlineStr">
        <is>
          <t>Mojave Lighting &amp; Power Group</t>
        </is>
      </c>
      <c r="B770" s="14" t="inlineStr">
        <is>
          <t>Electrical Services</t>
        </is>
      </c>
      <c r="C770" s="15" t="n">
        <v>126</v>
      </c>
      <c r="D770" s="13" t="inlineStr">
        <is>
          <t>Chevy Express 2500</t>
        </is>
      </c>
      <c r="E770" s="13" t="inlineStr">
        <is>
          <t>Daniel Davis</t>
        </is>
      </c>
      <c r="F770" s="13" t="inlineStr">
        <is>
          <t>daniel@mojavelightingpowergroup.com</t>
        </is>
      </c>
      <c r="G770" s="13" t="inlineStr">
        <is>
          <t>702-555-9737</t>
        </is>
      </c>
      <c r="H770" s="14" t="inlineStr">
        <is>
          <t>DOT88059</t>
        </is>
      </c>
      <c r="I770" s="16" t="n">
        <v>0.112</v>
      </c>
      <c r="J770" s="13" t="inlineStr">
        <is>
          <t>Express Engine Bay Hose Thermal Crack Hazard</t>
        </is>
      </c>
      <c r="K770" s="14" t="inlineStr">
        <is>
          <t>Warm Prospect</t>
        </is>
      </c>
      <c r="L770" s="17">
        <f>IF(C770&gt;0, 99 + (C770 * 2.5), 0)</f>
        <v/>
      </c>
    </row>
    <row r="771">
      <c r="A771" s="8" t="inlineStr">
        <is>
          <t>Vegas Valley Electric Pros Group</t>
        </is>
      </c>
      <c r="B771" s="9" t="inlineStr">
        <is>
          <t>Electrical Services</t>
        </is>
      </c>
      <c r="C771" s="10" t="n">
        <v>106</v>
      </c>
      <c r="D771" s="8" t="inlineStr">
        <is>
          <t>Chevy Express 3500</t>
        </is>
      </c>
      <c r="E771" s="8" t="inlineStr">
        <is>
          <t>Paul Davis</t>
        </is>
      </c>
      <c r="F771" s="8" t="inlineStr">
        <is>
          <t>paul@vegasvalleyelectricprosgroup.com</t>
        </is>
      </c>
      <c r="G771" s="8" t="inlineStr">
        <is>
          <t>702-555-2724</t>
        </is>
      </c>
      <c r="H771" s="9" t="inlineStr">
        <is>
          <t>DOT52971</t>
        </is>
      </c>
      <c r="I771" s="11" t="n">
        <v>0.2</v>
      </c>
      <c r="J771" s="8" t="inlineStr">
        <is>
          <t>Express Engine Bay Hose Thermal Crack Hazard</t>
        </is>
      </c>
      <c r="K771" s="9" t="inlineStr">
        <is>
          <t>Warm Prospect</t>
        </is>
      </c>
      <c r="L771" s="12">
        <f>IF(C771&gt;0, 99 + (C771 * 2.5), 0)</f>
        <v/>
      </c>
    </row>
    <row r="772">
      <c r="A772" s="13" t="inlineStr">
        <is>
          <t>First Choice Electric &amp; Solar Inc</t>
        </is>
      </c>
      <c r="B772" s="14" t="inlineStr">
        <is>
          <t>Electrical Services</t>
        </is>
      </c>
      <c r="C772" s="15" t="n">
        <v>115</v>
      </c>
      <c r="D772" s="13" t="inlineStr">
        <is>
          <t>Ram ProMaster 1500</t>
        </is>
      </c>
      <c r="E772" s="13" t="inlineStr">
        <is>
          <t>James Williams</t>
        </is>
      </c>
      <c r="F772" s="13" t="inlineStr">
        <is>
          <t>james@firstchoiceelectricsolarinc.com</t>
        </is>
      </c>
      <c r="G772" s="13" t="inlineStr">
        <is>
          <t>702-555-2018</t>
        </is>
      </c>
      <c r="H772" s="14" t="inlineStr">
        <is>
          <t>DOT65690</t>
        </is>
      </c>
      <c r="I772" s="16" t="n">
        <v>0.315</v>
      </c>
      <c r="J772" s="13" t="inlineStr">
        <is>
          <t>ProMaster Brake Line Rubbing Collision Abrasion Leak</t>
        </is>
      </c>
      <c r="K772" s="14" t="inlineStr">
        <is>
          <t>Warm Prospect</t>
        </is>
      </c>
      <c r="L772" s="17">
        <f>IF(C772&gt;0, 99 + (C772 * 2.5), 0)</f>
        <v/>
      </c>
    </row>
    <row r="773">
      <c r="A773" s="8" t="inlineStr">
        <is>
          <t>First Choice Air Conditioning LLC</t>
        </is>
      </c>
      <c r="B773" s="9" t="inlineStr">
        <is>
          <t>HVAC/Plumbing</t>
        </is>
      </c>
      <c r="C773" s="10" t="n">
        <v>113</v>
      </c>
      <c r="D773" s="8" t="inlineStr">
        <is>
          <t>Chevy Express 2500</t>
        </is>
      </c>
      <c r="E773" s="8" t="inlineStr">
        <is>
          <t>Joshua Moore</t>
        </is>
      </c>
      <c r="F773" s="8" t="inlineStr">
        <is>
          <t>joshua@firstchoiceairconditioningllc.com</t>
        </is>
      </c>
      <c r="G773" s="8" t="inlineStr">
        <is>
          <t>702-555-9502</t>
        </is>
      </c>
      <c r="H773" s="9" t="inlineStr">
        <is>
          <t>DOT61744</t>
        </is>
      </c>
      <c r="I773" s="11" t="n">
        <v>0.31</v>
      </c>
      <c r="J773" s="8" t="inlineStr">
        <is>
          <t>Express Engine Bay Hose Thermal Crack Hazard</t>
        </is>
      </c>
      <c r="K773" s="9" t="inlineStr">
        <is>
          <t>Audit Run</t>
        </is>
      </c>
      <c r="L773" s="12">
        <f>IF(C773&gt;0, 99 + (C773 * 2.5), 0)</f>
        <v/>
      </c>
    </row>
    <row r="774">
      <c r="A774" s="13" t="inlineStr">
        <is>
          <t>Vegas Valley Wiring Solutions LLC</t>
        </is>
      </c>
      <c r="B774" s="14" t="inlineStr">
        <is>
          <t>Electrical Services</t>
        </is>
      </c>
      <c r="C774" s="15" t="n">
        <v>116</v>
      </c>
      <c r="D774" s="13" t="inlineStr">
        <is>
          <t>Ram ProMaster 1500</t>
        </is>
      </c>
      <c r="E774" s="13" t="inlineStr">
        <is>
          <t>William Jones</t>
        </is>
      </c>
      <c r="F774" s="13" t="inlineStr">
        <is>
          <t>william@vegasvalleywiringsolutionsllc.com</t>
        </is>
      </c>
      <c r="G774" s="13" t="inlineStr">
        <is>
          <t>702-555-9286</t>
        </is>
      </c>
      <c r="H774" s="14" t="inlineStr">
        <is>
          <t>DOT26662</t>
        </is>
      </c>
      <c r="I774" s="16" t="n">
        <v>0.19</v>
      </c>
      <c r="J774" s="13" t="inlineStr">
        <is>
          <t>ProMaster Brake Line Rubbing Collision Abrasion Leak</t>
        </is>
      </c>
      <c r="K774" s="14" t="inlineStr">
        <is>
          <t>Warm Prospect</t>
        </is>
      </c>
      <c r="L774" s="17">
        <f>IF(C774&gt;0, 99 + (C774 * 2.5), 0)</f>
        <v/>
      </c>
    </row>
    <row r="775">
      <c r="A775" s="8" t="inlineStr">
        <is>
          <t>Clark County Plumbing Experts Group</t>
        </is>
      </c>
      <c r="B775" s="9" t="inlineStr">
        <is>
          <t>HVAC/Plumbing</t>
        </is>
      </c>
      <c r="C775" s="10" t="n">
        <v>64</v>
      </c>
      <c r="D775" s="8" t="inlineStr">
        <is>
          <t>Ford Transit 250</t>
        </is>
      </c>
      <c r="E775" s="8" t="inlineStr">
        <is>
          <t>Donald Thomas</t>
        </is>
      </c>
      <c r="F775" s="8" t="inlineStr">
        <is>
          <t>donald@clarkcountyplumbingexpertsgroup.com</t>
        </is>
      </c>
      <c r="G775" s="8" t="inlineStr">
        <is>
          <t>702-555-1534</t>
        </is>
      </c>
      <c r="H775" s="9" t="inlineStr">
        <is>
          <t>DOT30557</t>
        </is>
      </c>
      <c r="I775" s="11" t="n">
        <v>0.333</v>
      </c>
      <c r="J775" s="8" t="inlineStr">
        <is>
          <t>Transit 114°F Electrical Module Overheat Wire Ground Fire Risk</t>
        </is>
      </c>
      <c r="K775" s="9" t="inlineStr">
        <is>
          <t>Warm Prospect</t>
        </is>
      </c>
      <c r="L775" s="12">
        <f>IF(C775&gt;0, 99 + (C775 * 2.5), 0)</f>
        <v/>
      </c>
    </row>
    <row r="776">
      <c r="A776" s="13" t="inlineStr">
        <is>
          <t>Las Vegas Comfort Heating Inc</t>
        </is>
      </c>
      <c r="B776" s="14" t="inlineStr">
        <is>
          <t>HVAC/Plumbing</t>
        </is>
      </c>
      <c r="C776" s="15" t="n">
        <v>104</v>
      </c>
      <c r="D776" s="13" t="inlineStr">
        <is>
          <t>Ford Transit 250</t>
        </is>
      </c>
      <c r="E776" s="13" t="inlineStr">
        <is>
          <t>Joshua Martinez</t>
        </is>
      </c>
      <c r="F776" s="13" t="inlineStr">
        <is>
          <t>joshua@lasvegascomfortheatinginc.com</t>
        </is>
      </c>
      <c r="G776" s="13" t="inlineStr">
        <is>
          <t>702-555-1659</t>
        </is>
      </c>
      <c r="H776" s="14" t="inlineStr">
        <is>
          <t>DOT78521</t>
        </is>
      </c>
      <c r="I776" s="16" t="n">
        <v>0.08799999999999999</v>
      </c>
      <c r="J776" s="13" t="inlineStr">
        <is>
          <t>Transit 114°F Electrical Module Overheat Wire Ground Fire Risk</t>
        </is>
      </c>
      <c r="K776" s="14" t="inlineStr">
        <is>
          <t>Warm Prospect</t>
        </is>
      </c>
      <c r="L776" s="17">
        <f>IF(C776&gt;0, 99 + (C776 * 2.5), 0)</f>
        <v/>
      </c>
    </row>
    <row r="777">
      <c r="A777" s="8" t="inlineStr">
        <is>
          <t>Valley Electrical Contractors LLC</t>
        </is>
      </c>
      <c r="B777" s="9" t="inlineStr">
        <is>
          <t>Electrical Services</t>
        </is>
      </c>
      <c r="C777" s="10" t="n">
        <v>17</v>
      </c>
      <c r="D777" s="8" t="inlineStr">
        <is>
          <t>Ram ProMaster 1500</t>
        </is>
      </c>
      <c r="E777" s="8" t="inlineStr">
        <is>
          <t>David Jones</t>
        </is>
      </c>
      <c r="F777" s="8" t="inlineStr">
        <is>
          <t>david@valleyelectricalcontractorsllc.com</t>
        </is>
      </c>
      <c r="G777" s="8" t="inlineStr">
        <is>
          <t>702-555-7910</t>
        </is>
      </c>
      <c r="H777" s="9" t="inlineStr">
        <is>
          <t>DOT16376</t>
        </is>
      </c>
      <c r="I777" s="11" t="n">
        <v>0.33</v>
      </c>
      <c r="J777" s="8" t="inlineStr">
        <is>
          <t>ProMaster Brake Line Rubbing Collision Abrasion Leak</t>
        </is>
      </c>
      <c r="K777" s="9" t="inlineStr">
        <is>
          <t>Warm Prospect</t>
        </is>
      </c>
      <c r="L777" s="12">
        <f>IF(C777&gt;0, 99 + (C777 * 2.5), 0)</f>
        <v/>
      </c>
    </row>
    <row r="778">
      <c r="A778" s="13" t="inlineStr">
        <is>
          <t>Sunset Power Systems Group</t>
        </is>
      </c>
      <c r="B778" s="14" t="inlineStr">
        <is>
          <t>Electrical Services</t>
        </is>
      </c>
      <c r="C778" s="15" t="n">
        <v>10</v>
      </c>
      <c r="D778" s="13" t="inlineStr">
        <is>
          <t>Ram ProMaster 1500</t>
        </is>
      </c>
      <c r="E778" s="13" t="inlineStr">
        <is>
          <t>Robert Moore</t>
        </is>
      </c>
      <c r="F778" s="13" t="inlineStr">
        <is>
          <t>robert@sunsetpowersystemsgroup.com</t>
        </is>
      </c>
      <c r="G778" s="13" t="inlineStr">
        <is>
          <t>702-555-6712</t>
        </is>
      </c>
      <c r="H778" s="14" t="inlineStr">
        <is>
          <t>DOT18855</t>
        </is>
      </c>
      <c r="I778" s="16" t="n">
        <v>0.31</v>
      </c>
      <c r="J778" s="13" t="inlineStr">
        <is>
          <t>ProMaster Brake Line Rubbing Collision Abrasion Leak</t>
        </is>
      </c>
      <c r="K778" s="14" t="inlineStr">
        <is>
          <t>Warm Prospect</t>
        </is>
      </c>
      <c r="L778" s="17">
        <f>IF(C778&gt;0, 99 + (C778 * 2.5), 0)</f>
        <v/>
      </c>
    </row>
    <row r="779">
      <c r="A779" s="8" t="inlineStr">
        <is>
          <t>Las Vegas Electrical Contractors Group</t>
        </is>
      </c>
      <c r="B779" s="9" t="inlineStr">
        <is>
          <t>Electrical Services</t>
        </is>
      </c>
      <c r="C779" s="10" t="n">
        <v>96</v>
      </c>
      <c r="D779" s="8" t="inlineStr">
        <is>
          <t>Ram ProMaster 1500</t>
        </is>
      </c>
      <c r="E779" s="8" t="inlineStr">
        <is>
          <t>Anthony Thomas</t>
        </is>
      </c>
      <c r="F779" s="8" t="inlineStr">
        <is>
          <t>anthony@lasvegaselectricalcontractorsgroup.com</t>
        </is>
      </c>
      <c r="G779" s="8" t="inlineStr">
        <is>
          <t>702-555-3175</t>
        </is>
      </c>
      <c r="H779" s="9" t="inlineStr">
        <is>
          <t>DOT28156</t>
        </is>
      </c>
      <c r="I779" s="11" t="n">
        <v>0.196</v>
      </c>
      <c r="J779" s="8" t="inlineStr">
        <is>
          <t>ProMaster Brake Line Rubbing Collision Abrasion Leak</t>
        </is>
      </c>
      <c r="K779" s="9" t="inlineStr">
        <is>
          <t>Warm Prospect</t>
        </is>
      </c>
      <c r="L779" s="12">
        <f>IF(C779&gt;0, 99 + (C779 * 2.5), 0)</f>
        <v/>
      </c>
    </row>
    <row r="780">
      <c r="A780" s="13" t="inlineStr">
        <is>
          <t>Vegas Valley Wiring Solutions Inc</t>
        </is>
      </c>
      <c r="B780" s="14" t="inlineStr">
        <is>
          <t>Electrical Services</t>
        </is>
      </c>
      <c r="C780" s="15" t="n">
        <v>32</v>
      </c>
      <c r="D780" s="13" t="inlineStr">
        <is>
          <t>Ram ProMaster 2500</t>
        </is>
      </c>
      <c r="E780" s="13" t="inlineStr">
        <is>
          <t>Kenneth Martin</t>
        </is>
      </c>
      <c r="F780" s="13" t="inlineStr">
        <is>
          <t>kenneth@vegasvalleywiringsolutionsinc.com</t>
        </is>
      </c>
      <c r="G780" s="13" t="inlineStr">
        <is>
          <t>702-555-7711</t>
        </is>
      </c>
      <c r="H780" s="14" t="inlineStr">
        <is>
          <t>DOT60755</t>
        </is>
      </c>
      <c r="I780" s="16" t="n">
        <v>0.112</v>
      </c>
      <c r="J780" s="13" t="inlineStr">
        <is>
          <t>ProMaster Brake Line Rubbing Collision Abrasion Leak</t>
        </is>
      </c>
      <c r="K780" s="14" t="inlineStr">
        <is>
          <t>Warm Prospect</t>
        </is>
      </c>
      <c r="L780" s="17">
        <f>IF(C780&gt;0, 99 + (C780 * 2.5), 0)</f>
        <v/>
      </c>
    </row>
    <row r="781">
      <c r="A781" s="8" t="inlineStr">
        <is>
          <t>High Rise Electric &amp; Solar Group</t>
        </is>
      </c>
      <c r="B781" s="9" t="inlineStr">
        <is>
          <t>Electrical Services</t>
        </is>
      </c>
      <c r="C781" s="10" t="n">
        <v>81</v>
      </c>
      <c r="D781" s="8" t="inlineStr">
        <is>
          <t>Ram ProMaster 1500</t>
        </is>
      </c>
      <c r="E781" s="8" t="inlineStr">
        <is>
          <t>James Garcia</t>
        </is>
      </c>
      <c r="F781" s="8" t="inlineStr">
        <is>
          <t>james@highriseelectricsolargroup.com</t>
        </is>
      </c>
      <c r="G781" s="8" t="inlineStr">
        <is>
          <t>702-555-1406</t>
        </is>
      </c>
      <c r="H781" s="9" t="inlineStr">
        <is>
          <t>DOT84972</t>
        </is>
      </c>
      <c r="I781" s="11" t="n">
        <v>0.235</v>
      </c>
      <c r="J781" s="8" t="inlineStr">
        <is>
          <t>ProMaster Brake Line Rubbing Collision Abrasion Leak</t>
        </is>
      </c>
      <c r="K781" s="9" t="inlineStr">
        <is>
          <t>Warm Prospect</t>
        </is>
      </c>
      <c r="L781" s="12">
        <f>IF(C781&gt;0, 99 + (C781 * 2.5), 0)</f>
        <v/>
      </c>
    </row>
    <row r="782">
      <c r="A782" s="13" t="inlineStr">
        <is>
          <t>Vegas Valley Shuttles Group</t>
        </is>
      </c>
      <c r="B782" s="14" t="inlineStr">
        <is>
          <t>Boutique Transit</t>
        </is>
      </c>
      <c r="C782" s="15" t="n">
        <v>31</v>
      </c>
      <c r="D782" s="13" t="inlineStr">
        <is>
          <t>Ford Transit 350</t>
        </is>
      </c>
      <c r="E782" s="13" t="inlineStr">
        <is>
          <t>Richard Martin</t>
        </is>
      </c>
      <c r="F782" s="13" t="inlineStr">
        <is>
          <t>richard@vegasvalleyshuttlesgroup.com</t>
        </is>
      </c>
      <c r="G782" s="13" t="inlineStr">
        <is>
          <t>702-555-9877</t>
        </is>
      </c>
      <c r="H782" s="14" t="inlineStr">
        <is>
          <t>DOT85609</t>
        </is>
      </c>
      <c r="I782" s="16" t="n">
        <v>0.275</v>
      </c>
      <c r="J782" s="13" t="inlineStr">
        <is>
          <t>Transit 114°F Electrical Module Overheat Wire Ground Fire Risk</t>
        </is>
      </c>
      <c r="K782" s="14" t="inlineStr">
        <is>
          <t>Audit Run</t>
        </is>
      </c>
      <c r="L782" s="17">
        <f>IF(C782&gt;0, 99 + (C782 * 2.5), 0)</f>
        <v/>
      </c>
    </row>
    <row r="783">
      <c r="A783" s="8" t="inlineStr">
        <is>
          <t>Sunset Tours &amp; Transit Group</t>
        </is>
      </c>
      <c r="B783" s="9" t="inlineStr">
        <is>
          <t>Boutique Transit</t>
        </is>
      </c>
      <c r="C783" s="10" t="n">
        <v>40</v>
      </c>
      <c r="D783" s="8" t="inlineStr">
        <is>
          <t>Mercedes-Benz Sprinter 2500</t>
        </is>
      </c>
      <c r="E783" s="8" t="inlineStr">
        <is>
          <t>Andrew Garcia</t>
        </is>
      </c>
      <c r="F783" s="8" t="inlineStr">
        <is>
          <t>andrew@sunsettourstransitgroup.com</t>
        </is>
      </c>
      <c r="G783" s="8" t="inlineStr">
        <is>
          <t>702-555-1310</t>
        </is>
      </c>
      <c r="H783" s="9" t="inlineStr">
        <is>
          <t>DOT46039</t>
        </is>
      </c>
      <c r="I783" s="11" t="n">
        <v>0.284</v>
      </c>
      <c r="J783" s="8" t="inlineStr">
        <is>
          <t>Sprinter AC Comp Condensation Drain Backup Wiring Short</t>
        </is>
      </c>
      <c r="K783" s="9" t="inlineStr">
        <is>
          <t>Warm Prospect</t>
        </is>
      </c>
      <c r="L783" s="12">
        <f>IF(C783&gt;0, 99 + (C783 * 2.5), 0)</f>
        <v/>
      </c>
    </row>
    <row r="784">
      <c r="A784" s="13" t="inlineStr">
        <is>
          <t>Summerlin Logistics LLC</t>
        </is>
      </c>
      <c r="B784" s="14" t="inlineStr">
        <is>
          <t>Boutique Transit</t>
        </is>
      </c>
      <c r="C784" s="15" t="n">
        <v>146</v>
      </c>
      <c r="D784" s="13" t="inlineStr">
        <is>
          <t>Mercedes-Benz Sprinter 2500</t>
        </is>
      </c>
      <c r="E784" s="13" t="inlineStr">
        <is>
          <t>Kenneth Hernandez</t>
        </is>
      </c>
      <c r="F784" s="13" t="inlineStr">
        <is>
          <t>kenneth@summerlinlogisticsllc.com</t>
        </is>
      </c>
      <c r="G784" s="13" t="inlineStr">
        <is>
          <t>702-555-7583</t>
        </is>
      </c>
      <c r="H784" s="14" t="inlineStr">
        <is>
          <t>DOT87187</t>
        </is>
      </c>
      <c r="I784" s="16" t="n">
        <v>0.054</v>
      </c>
      <c r="J784" s="13" t="inlineStr">
        <is>
          <t>Sprinter AC Comp Condensation Drain Backup Wiring Short</t>
        </is>
      </c>
      <c r="K784" s="14" t="inlineStr">
        <is>
          <t>Warm Prospect</t>
        </is>
      </c>
      <c r="L784" s="17">
        <f>IF(C784&gt;0, 99 + (C784 * 2.5), 0)</f>
        <v/>
      </c>
    </row>
    <row r="785">
      <c r="A785" s="8" t="inlineStr">
        <is>
          <t>Titan Power Systems LLC</t>
        </is>
      </c>
      <c r="B785" s="9" t="inlineStr">
        <is>
          <t>Electrical Services</t>
        </is>
      </c>
      <c r="C785" s="10" t="n">
        <v>145</v>
      </c>
      <c r="D785" s="8" t="inlineStr">
        <is>
          <t>Chevy Express 2500</t>
        </is>
      </c>
      <c r="E785" s="8" t="inlineStr">
        <is>
          <t>Daniel Gonzalez</t>
        </is>
      </c>
      <c r="F785" s="8" t="inlineStr">
        <is>
          <t>daniel@titanpowersystemsllc.com</t>
        </is>
      </c>
      <c r="G785" s="8" t="inlineStr">
        <is>
          <t>702-555-5213</t>
        </is>
      </c>
      <c r="H785" s="9" t="inlineStr">
        <is>
          <t>DOT21930</t>
        </is>
      </c>
      <c r="I785" s="11" t="n">
        <v>0.076</v>
      </c>
      <c r="J785" s="8" t="inlineStr">
        <is>
          <t>Express Engine Bay Hose Thermal Crack Hazard</t>
        </is>
      </c>
      <c r="K785" s="9" t="inlineStr">
        <is>
          <t>Warm Prospect</t>
        </is>
      </c>
      <c r="L785" s="12">
        <f>IF(C785&gt;0, 99 + (C785 * 2.5), 0)</f>
        <v/>
      </c>
    </row>
    <row r="786">
      <c r="A786" s="13" t="inlineStr">
        <is>
          <t>Red Rock Chauffeurs Inc</t>
        </is>
      </c>
      <c r="B786" s="14" t="inlineStr">
        <is>
          <t>Boutique Transit</t>
        </is>
      </c>
      <c r="C786" s="15" t="n">
        <v>75</v>
      </c>
      <c r="D786" s="13" t="inlineStr">
        <is>
          <t>Mercedes-Benz Sprinter 2500</t>
        </is>
      </c>
      <c r="E786" s="13" t="inlineStr">
        <is>
          <t>James Jones</t>
        </is>
      </c>
      <c r="F786" s="13" t="inlineStr">
        <is>
          <t>james@redrockchauffeursinc.com</t>
        </is>
      </c>
      <c r="G786" s="13" t="inlineStr">
        <is>
          <t>702-555-6026</t>
        </is>
      </c>
      <c r="H786" s="14" t="inlineStr">
        <is>
          <t>DOT63382</t>
        </is>
      </c>
      <c r="I786" s="16" t="n">
        <v>0.25</v>
      </c>
      <c r="J786" s="13" t="inlineStr">
        <is>
          <t>Sprinter AC Comp Condensation Drain Backup Wiring Short</t>
        </is>
      </c>
      <c r="K786" s="14" t="inlineStr">
        <is>
          <t>Warm Prospect</t>
        </is>
      </c>
      <c r="L786" s="17">
        <f>IF(C786&gt;0, 99 + (C786 * 2.5), 0)</f>
        <v/>
      </c>
    </row>
    <row r="787">
      <c r="A787" s="8" t="inlineStr">
        <is>
          <t>Valley Airport Express Inc</t>
        </is>
      </c>
      <c r="B787" s="9" t="inlineStr">
        <is>
          <t>Boutique Transit</t>
        </is>
      </c>
      <c r="C787" s="10" t="n">
        <v>24</v>
      </c>
      <c r="D787" s="8" t="inlineStr">
        <is>
          <t>Ford Transit 350</t>
        </is>
      </c>
      <c r="E787" s="8" t="inlineStr">
        <is>
          <t>Christopher Gonzalez</t>
        </is>
      </c>
      <c r="F787" s="8" t="inlineStr">
        <is>
          <t>christopher@valleyairportexpressinc.com</t>
        </is>
      </c>
      <c r="G787" s="8" t="inlineStr">
        <is>
          <t>702-555-2617</t>
        </is>
      </c>
      <c r="H787" s="9" t="inlineStr">
        <is>
          <t>DOT51948</t>
        </is>
      </c>
      <c r="I787" s="11" t="n">
        <v>0.08400000000000001</v>
      </c>
      <c r="J787" s="8" t="inlineStr">
        <is>
          <t>Transit 114°F Electrical Module Overheat Wire Ground Fire Risk</t>
        </is>
      </c>
      <c r="K787" s="9" t="inlineStr">
        <is>
          <t>Warm Prospect</t>
        </is>
      </c>
      <c r="L787" s="12">
        <f>IF(C787&gt;0, 99 + (C787 * 2.5), 0)</f>
        <v/>
      </c>
    </row>
    <row r="788">
      <c r="A788" s="13" t="inlineStr">
        <is>
          <t>Titan Electric &amp; Solar Inc</t>
        </is>
      </c>
      <c r="B788" s="14" t="inlineStr">
        <is>
          <t>Electrical Services</t>
        </is>
      </c>
      <c r="C788" s="15" t="n">
        <v>71</v>
      </c>
      <c r="D788" s="13" t="inlineStr">
        <is>
          <t>Chevy Express 3500</t>
        </is>
      </c>
      <c r="E788" s="13" t="inlineStr">
        <is>
          <t>Kenneth Jackson</t>
        </is>
      </c>
      <c r="F788" s="13" t="inlineStr">
        <is>
          <t>kenneth@titanelectricsolarinc.com</t>
        </is>
      </c>
      <c r="G788" s="13" t="inlineStr">
        <is>
          <t>702-555-4874</t>
        </is>
      </c>
      <c r="H788" s="14" t="inlineStr">
        <is>
          <t>DOT74615</t>
        </is>
      </c>
      <c r="I788" s="16" t="n">
        <v>0.198</v>
      </c>
      <c r="J788" s="13" t="inlineStr">
        <is>
          <t>Express Engine Bay Hose Thermal Crack Hazard</t>
        </is>
      </c>
      <c r="K788" s="14" t="inlineStr">
        <is>
          <t>Audit Run</t>
        </is>
      </c>
      <c r="L788" s="17">
        <f>IF(C788&gt;0, 99 + (C788 * 2.5), 0)</f>
        <v/>
      </c>
    </row>
    <row r="789">
      <c r="A789" s="8" t="inlineStr">
        <is>
          <t>Apex Electrical Contractors Inc</t>
        </is>
      </c>
      <c r="B789" s="9" t="inlineStr">
        <is>
          <t>Electrical Services</t>
        </is>
      </c>
      <c r="C789" s="10" t="n">
        <v>128</v>
      </c>
      <c r="D789" s="8" t="inlineStr">
        <is>
          <t>Ram ProMaster 2500</t>
        </is>
      </c>
      <c r="E789" s="8" t="inlineStr">
        <is>
          <t>Andrew Wilson</t>
        </is>
      </c>
      <c r="F789" s="8" t="inlineStr">
        <is>
          <t>andrew@apexelectricalcontractorsinc.com</t>
        </is>
      </c>
      <c r="G789" s="8" t="inlineStr">
        <is>
          <t>702-555-2072</t>
        </is>
      </c>
      <c r="H789" s="9" t="inlineStr">
        <is>
          <t>DOT73461</t>
        </is>
      </c>
      <c r="I789" s="11" t="n">
        <v>0.049</v>
      </c>
      <c r="J789" s="8" t="inlineStr">
        <is>
          <t>ProMaster Brake Line Rubbing Collision Abrasion Leak</t>
        </is>
      </c>
      <c r="K789" s="9" t="inlineStr">
        <is>
          <t>Warm Prospect</t>
        </is>
      </c>
      <c r="L789" s="12">
        <f>IF(C789&gt;0, 99 + (C789 * 2.5), 0)</f>
        <v/>
      </c>
    </row>
    <row r="790">
      <c r="A790" s="13" t="inlineStr">
        <is>
          <t>Mojave Plumbing Experts Group</t>
        </is>
      </c>
      <c r="B790" s="14" t="inlineStr">
        <is>
          <t>HVAC/Plumbing</t>
        </is>
      </c>
      <c r="C790" s="15" t="n">
        <v>73</v>
      </c>
      <c r="D790" s="13" t="inlineStr">
        <is>
          <t>Ford Transit 250</t>
        </is>
      </c>
      <c r="E790" s="13" t="inlineStr">
        <is>
          <t>Andrew Jones</t>
        </is>
      </c>
      <c r="F790" s="13" t="inlineStr">
        <is>
          <t>andrew@mojaveplumbingexpertsgroup.com</t>
        </is>
      </c>
      <c r="G790" s="13" t="inlineStr">
        <is>
          <t>702-555-5990</t>
        </is>
      </c>
      <c r="H790" s="14" t="inlineStr">
        <is>
          <t>DOT84481</t>
        </is>
      </c>
      <c r="I790" s="16" t="n">
        <v>0.166</v>
      </c>
      <c r="J790" s="13" t="inlineStr">
        <is>
          <t>Transit 114°F Electrical Module Overheat Wire Ground Fire Risk</t>
        </is>
      </c>
      <c r="K790" s="14" t="inlineStr">
        <is>
          <t>Warm Prospect</t>
        </is>
      </c>
      <c r="L790" s="17">
        <f>IF(C790&gt;0, 99 + (C790 * 2.5), 0)</f>
        <v/>
      </c>
    </row>
    <row r="791">
      <c r="A791" s="8" t="inlineStr">
        <is>
          <t>High Rise Airport Express Inc</t>
        </is>
      </c>
      <c r="B791" s="9" t="inlineStr">
        <is>
          <t>Boutique Transit</t>
        </is>
      </c>
      <c r="C791" s="10" t="n">
        <v>148</v>
      </c>
      <c r="D791" s="8" t="inlineStr">
        <is>
          <t>Mercedes-Benz Sprinter 3500</t>
        </is>
      </c>
      <c r="E791" s="8" t="inlineStr">
        <is>
          <t>William Davis</t>
        </is>
      </c>
      <c r="F791" s="8" t="inlineStr">
        <is>
          <t>william@highriseairportexpressinc.com</t>
        </is>
      </c>
      <c r="G791" s="8" t="inlineStr">
        <is>
          <t>702-555-9806</t>
        </is>
      </c>
      <c r="H791" s="9" t="inlineStr">
        <is>
          <t>DOT65542</t>
        </is>
      </c>
      <c r="I791" s="11" t="n">
        <v>0.338</v>
      </c>
      <c r="J791" s="8" t="inlineStr">
        <is>
          <t>Sprinter AC Comp Condensation Drain Backup Wiring Short</t>
        </is>
      </c>
      <c r="K791" s="9" t="inlineStr">
        <is>
          <t>Audit Run</t>
        </is>
      </c>
      <c r="L791" s="12">
        <f>IF(C791&gt;0, 99 + (C791 * 2.5), 0)</f>
        <v/>
      </c>
    </row>
    <row r="792">
      <c r="A792" s="13" t="inlineStr">
        <is>
          <t>Silver State Electric &amp; Solar LLC</t>
        </is>
      </c>
      <c r="B792" s="14" t="inlineStr">
        <is>
          <t>Electrical Services</t>
        </is>
      </c>
      <c r="C792" s="15" t="n">
        <v>52</v>
      </c>
      <c r="D792" s="13" t="inlineStr">
        <is>
          <t>Ram ProMaster 2500</t>
        </is>
      </c>
      <c r="E792" s="13" t="inlineStr">
        <is>
          <t>John Johnson</t>
        </is>
      </c>
      <c r="F792" s="13" t="inlineStr">
        <is>
          <t>john@silverstateelectricsolarllc.com</t>
        </is>
      </c>
      <c r="G792" s="13" t="inlineStr">
        <is>
          <t>702-555-8900</t>
        </is>
      </c>
      <c r="H792" s="14" t="inlineStr">
        <is>
          <t>DOT45822</t>
        </is>
      </c>
      <c r="I792" s="16" t="n">
        <v>0.225</v>
      </c>
      <c r="J792" s="13" t="inlineStr">
        <is>
          <t>ProMaster Brake Line Rubbing Collision Abrasion Leak</t>
        </is>
      </c>
      <c r="K792" s="14" t="inlineStr">
        <is>
          <t>Warm Prospect</t>
        </is>
      </c>
      <c r="L792" s="17">
        <f>IF(C792&gt;0, 99 + (C792 * 2.5), 0)</f>
        <v/>
      </c>
    </row>
    <row r="793">
      <c r="A793" s="8" t="inlineStr">
        <is>
          <t>Summerlin Electric Pros Inc</t>
        </is>
      </c>
      <c r="B793" s="9" t="inlineStr">
        <is>
          <t>Electrical Services</t>
        </is>
      </c>
      <c r="C793" s="10" t="n">
        <v>21</v>
      </c>
      <c r="D793" s="8" t="inlineStr">
        <is>
          <t>Ram ProMaster 2500</t>
        </is>
      </c>
      <c r="E793" s="8" t="inlineStr">
        <is>
          <t>William Moore</t>
        </is>
      </c>
      <c r="F793" s="8" t="inlineStr">
        <is>
          <t>william@summerlinelectricprosinc.com</t>
        </is>
      </c>
      <c r="G793" s="8" t="inlineStr">
        <is>
          <t>702-555-2145</t>
        </is>
      </c>
      <c r="H793" s="9" t="inlineStr">
        <is>
          <t>DOT49405</t>
        </is>
      </c>
      <c r="I793" s="11" t="n">
        <v>0.068</v>
      </c>
      <c r="J793" s="8" t="inlineStr">
        <is>
          <t>ProMaster Brake Line Rubbing Collision Abrasion Leak</t>
        </is>
      </c>
      <c r="K793" s="9" t="inlineStr">
        <is>
          <t>Warm Prospect</t>
        </is>
      </c>
      <c r="L793" s="12">
        <f>IF(C793&gt;0, 99 + (C793 * 2.5), 0)</f>
        <v/>
      </c>
    </row>
    <row r="794">
      <c r="A794" s="13" t="inlineStr">
        <is>
          <t>Clark County Plumbing Experts LLC</t>
        </is>
      </c>
      <c r="B794" s="14" t="inlineStr">
        <is>
          <t>HVAC/Plumbing</t>
        </is>
      </c>
      <c r="C794" s="15" t="n">
        <v>63</v>
      </c>
      <c r="D794" s="13" t="inlineStr">
        <is>
          <t>GMC Savana 2500</t>
        </is>
      </c>
      <c r="E794" s="13" t="inlineStr">
        <is>
          <t>Kenneth Taylor</t>
        </is>
      </c>
      <c r="F794" s="13" t="inlineStr">
        <is>
          <t>kenneth@clarkcountyplumbingexpertsllc.com</t>
        </is>
      </c>
      <c r="G794" s="13" t="inlineStr">
        <is>
          <t>702-555-6215</t>
        </is>
      </c>
      <c r="H794" s="14" t="inlineStr">
        <is>
          <t>DOT99404</t>
        </is>
      </c>
      <c r="I794" s="16" t="n">
        <v>0.333</v>
      </c>
      <c r="J794" s="13" t="inlineStr">
        <is>
          <t>Savana Desert Fuel Line Seal Degradation Failure</t>
        </is>
      </c>
      <c r="K794" s="14" t="inlineStr">
        <is>
          <t>Warm Prospect</t>
        </is>
      </c>
      <c r="L794" s="17">
        <f>IF(C794&gt;0, 99 + (C794 * 2.5), 0)</f>
        <v/>
      </c>
    </row>
    <row r="795">
      <c r="A795" s="8" t="inlineStr">
        <is>
          <t>First Choice Chauffeurs Inc</t>
        </is>
      </c>
      <c r="B795" s="9" t="inlineStr">
        <is>
          <t>Boutique Transit</t>
        </is>
      </c>
      <c r="C795" s="10" t="n">
        <v>92</v>
      </c>
      <c r="D795" s="8" t="inlineStr">
        <is>
          <t>Ford Transit 350</t>
        </is>
      </c>
      <c r="E795" s="8" t="inlineStr">
        <is>
          <t>Daniel Miller</t>
        </is>
      </c>
      <c r="F795" s="8" t="inlineStr">
        <is>
          <t>daniel@firstchoicechauffeursinc.com</t>
        </is>
      </c>
      <c r="G795" s="8" t="inlineStr">
        <is>
          <t>702-555-8533</t>
        </is>
      </c>
      <c r="H795" s="9" t="inlineStr">
        <is>
          <t>DOT88579</t>
        </is>
      </c>
      <c r="I795" s="11" t="n">
        <v>0.142</v>
      </c>
      <c r="J795" s="8" t="inlineStr">
        <is>
          <t>Transit 114°F Electrical Module Overheat Wire Ground Fire Risk</t>
        </is>
      </c>
      <c r="K795" s="9" t="inlineStr">
        <is>
          <t>Warm Prospect</t>
        </is>
      </c>
      <c r="L795" s="12">
        <f>IF(C795&gt;0, 99 + (C795 * 2.5), 0)</f>
        <v/>
      </c>
    </row>
    <row r="796">
      <c r="A796" s="13" t="inlineStr">
        <is>
          <t>Spring Valley Shuttles Group</t>
        </is>
      </c>
      <c r="B796" s="14" t="inlineStr">
        <is>
          <t>Boutique Transit</t>
        </is>
      </c>
      <c r="C796" s="15" t="n">
        <v>11</v>
      </c>
      <c r="D796" s="13" t="inlineStr">
        <is>
          <t>Mercedes-Benz Sprinter 3500</t>
        </is>
      </c>
      <c r="E796" s="13" t="inlineStr">
        <is>
          <t>John Garcia</t>
        </is>
      </c>
      <c r="F796" s="13" t="inlineStr">
        <is>
          <t>john@springvalleyshuttlesgroup.com</t>
        </is>
      </c>
      <c r="G796" s="13" t="inlineStr">
        <is>
          <t>702-555-7769</t>
        </is>
      </c>
      <c r="H796" s="14" t="inlineStr">
        <is>
          <t>DOT82848</t>
        </is>
      </c>
      <c r="I796" s="16" t="n">
        <v>0.318</v>
      </c>
      <c r="J796" s="13" t="inlineStr">
        <is>
          <t>Sprinter AC Comp Condensation Drain Backup Wiring Short</t>
        </is>
      </c>
      <c r="K796" s="14" t="inlineStr">
        <is>
          <t>Warm Prospect</t>
        </is>
      </c>
      <c r="L796" s="17">
        <f>IF(C796&gt;0, 99 + (C796 * 2.5), 0)</f>
        <v/>
      </c>
    </row>
    <row r="797">
      <c r="A797" s="8" t="inlineStr">
        <is>
          <t>High Rise Electric &amp; Solar Group</t>
        </is>
      </c>
      <c r="B797" s="9" t="inlineStr">
        <is>
          <t>Electrical Services</t>
        </is>
      </c>
      <c r="C797" s="10" t="n">
        <v>147</v>
      </c>
      <c r="D797" s="8" t="inlineStr">
        <is>
          <t>Chevy Express 2500</t>
        </is>
      </c>
      <c r="E797" s="8" t="inlineStr">
        <is>
          <t>John Anderson</t>
        </is>
      </c>
      <c r="F797" s="8" t="inlineStr">
        <is>
          <t>john@highriseelectricsolargroup.com</t>
        </is>
      </c>
      <c r="G797" s="8" t="inlineStr">
        <is>
          <t>702-555-3022</t>
        </is>
      </c>
      <c r="H797" s="9" t="inlineStr">
        <is>
          <t>DOT56267</t>
        </is>
      </c>
      <c r="I797" s="11" t="n">
        <v>0.341</v>
      </c>
      <c r="J797" s="8" t="inlineStr">
        <is>
          <t>Express Engine Bay Hose Thermal Crack Hazard</t>
        </is>
      </c>
      <c r="K797" s="9" t="inlineStr">
        <is>
          <t>Warm Prospect</t>
        </is>
      </c>
      <c r="L797" s="12">
        <f>IF(C797&gt;0, 99 + (C797 * 2.5), 0)</f>
        <v/>
      </c>
    </row>
    <row r="798">
      <c r="A798" s="13" t="inlineStr">
        <is>
          <t>Valley Tours &amp; Transit Inc</t>
        </is>
      </c>
      <c r="B798" s="14" t="inlineStr">
        <is>
          <t>Boutique Transit</t>
        </is>
      </c>
      <c r="C798" s="15" t="n">
        <v>12</v>
      </c>
      <c r="D798" s="13" t="inlineStr">
        <is>
          <t>Ford Transit 350</t>
        </is>
      </c>
      <c r="E798" s="13" t="inlineStr">
        <is>
          <t>Robert Anderson</t>
        </is>
      </c>
      <c r="F798" s="13" t="inlineStr">
        <is>
          <t>robert@valleytourstransitinc.com</t>
        </is>
      </c>
      <c r="G798" s="13" t="inlineStr">
        <is>
          <t>702-555-7069</t>
        </is>
      </c>
      <c r="H798" s="14" t="inlineStr">
        <is>
          <t>DOT35295</t>
        </is>
      </c>
      <c r="I798" s="16" t="n">
        <v>0.178</v>
      </c>
      <c r="J798" s="13" t="inlineStr">
        <is>
          <t>Transit 114°F Electrical Module Overheat Wire Ground Fire Risk</t>
        </is>
      </c>
      <c r="K798" s="14" t="inlineStr">
        <is>
          <t>Warm Prospect</t>
        </is>
      </c>
      <c r="L798" s="17">
        <f>IF(C798&gt;0, 99 + (C798 * 2.5), 0)</f>
        <v/>
      </c>
    </row>
    <row r="799">
      <c r="A799" s="8" t="inlineStr">
        <is>
          <t>Silver State Chauffeurs Group</t>
        </is>
      </c>
      <c r="B799" s="9" t="inlineStr">
        <is>
          <t>Boutique Transit</t>
        </is>
      </c>
      <c r="C799" s="10" t="n">
        <v>101</v>
      </c>
      <c r="D799" s="8" t="inlineStr">
        <is>
          <t>Ford Transit 350</t>
        </is>
      </c>
      <c r="E799" s="8" t="inlineStr">
        <is>
          <t>Richard Williams</t>
        </is>
      </c>
      <c r="F799" s="8" t="inlineStr">
        <is>
          <t>richard@silverstatechauffeursgroup.com</t>
        </is>
      </c>
      <c r="G799" s="8" t="inlineStr">
        <is>
          <t>702-555-5967</t>
        </is>
      </c>
      <c r="H799" s="9" t="inlineStr">
        <is>
          <t>DOT38986</t>
        </is>
      </c>
      <c r="I799" s="11" t="n">
        <v>0.113</v>
      </c>
      <c r="J799" s="8" t="inlineStr">
        <is>
          <t>Transit 114°F Electrical Module Overheat Wire Ground Fire Risk</t>
        </is>
      </c>
      <c r="K799" s="9" t="inlineStr">
        <is>
          <t>Warm Prospect</t>
        </is>
      </c>
      <c r="L799" s="12">
        <f>IF(C799&gt;0, 99 + (C799 * 2.5), 0)</f>
        <v/>
      </c>
    </row>
    <row r="800">
      <c r="A800" s="13" t="inlineStr">
        <is>
          <t>Silver State Electrical Contractors LLC</t>
        </is>
      </c>
      <c r="B800" s="14" t="inlineStr">
        <is>
          <t>Electrical Services</t>
        </is>
      </c>
      <c r="C800" s="15" t="n">
        <v>11</v>
      </c>
      <c r="D800" s="13" t="inlineStr">
        <is>
          <t>Chevy Express 3500</t>
        </is>
      </c>
      <c r="E800" s="13" t="inlineStr">
        <is>
          <t>Richard Gonzalez</t>
        </is>
      </c>
      <c r="F800" s="13" t="inlineStr">
        <is>
          <t>richard@silverstateelectricalcontractorsllc.com</t>
        </is>
      </c>
      <c r="G800" s="13" t="inlineStr">
        <is>
          <t>702-555-2817</t>
        </is>
      </c>
      <c r="H800" s="14" t="inlineStr">
        <is>
          <t>DOT46352</t>
        </is>
      </c>
      <c r="I800" s="16" t="n">
        <v>0.216</v>
      </c>
      <c r="J800" s="13" t="inlineStr">
        <is>
          <t>Express Engine Bay Hose Thermal Crack Hazard</t>
        </is>
      </c>
      <c r="K800" s="14" t="inlineStr">
        <is>
          <t>Warm Prospect</t>
        </is>
      </c>
      <c r="L800" s="17">
        <f>IF(C800&gt;0, 99 + (C800 * 2.5), 0)</f>
        <v/>
      </c>
    </row>
    <row r="801">
      <c r="A801" s="8" t="inlineStr">
        <is>
          <t>High Rise Plumbing &amp; Drain Group</t>
        </is>
      </c>
      <c r="B801" s="9" t="inlineStr">
        <is>
          <t>HVAC/Plumbing</t>
        </is>
      </c>
      <c r="C801" s="10" t="n">
        <v>54</v>
      </c>
      <c r="D801" s="8" t="inlineStr">
        <is>
          <t>Chevy Express 2500</t>
        </is>
      </c>
      <c r="E801" s="8" t="inlineStr">
        <is>
          <t>James Jackson</t>
        </is>
      </c>
      <c r="F801" s="8" t="inlineStr">
        <is>
          <t>james@highriseplumbingdraingroup.com</t>
        </is>
      </c>
      <c r="G801" s="8" t="inlineStr">
        <is>
          <t>702-555-3101</t>
        </is>
      </c>
      <c r="H801" s="9" t="inlineStr">
        <is>
          <t>DOT18526</t>
        </is>
      </c>
      <c r="I801" s="11" t="n">
        <v>0.08</v>
      </c>
      <c r="J801" s="8" t="inlineStr">
        <is>
          <t>Express Engine Bay Hose Thermal Crack Hazard</t>
        </is>
      </c>
      <c r="K801" s="9" t="inlineStr">
        <is>
          <t>Audit Run</t>
        </is>
      </c>
      <c r="L801" s="12">
        <f>IF(C801&gt;0, 99 + (C801 * 2.5), 0)</f>
        <v/>
      </c>
    </row>
    <row r="802">
      <c r="A802" s="13" t="inlineStr">
        <is>
          <t>Spring Valley Plumbing Experts Group</t>
        </is>
      </c>
      <c r="B802" s="14" t="inlineStr">
        <is>
          <t>HVAC/Plumbing</t>
        </is>
      </c>
      <c r="C802" s="15" t="n">
        <v>59</v>
      </c>
      <c r="D802" s="13" t="inlineStr">
        <is>
          <t>Ford Transit 150</t>
        </is>
      </c>
      <c r="E802" s="13" t="inlineStr">
        <is>
          <t>John Moore</t>
        </is>
      </c>
      <c r="F802" s="13" t="inlineStr">
        <is>
          <t>john@springvalleyplumbingexpertsgroup.com</t>
        </is>
      </c>
      <c r="G802" s="13" t="inlineStr">
        <is>
          <t>702-555-5143</t>
        </is>
      </c>
      <c r="H802" s="14" t="inlineStr">
        <is>
          <t>DOT99218</t>
        </is>
      </c>
      <c r="I802" s="16" t="n">
        <v>0.214</v>
      </c>
      <c r="J802" s="13" t="inlineStr">
        <is>
          <t>Transit 114°F Electrical Module Overheat Wire Ground Fire Risk</t>
        </is>
      </c>
      <c r="K802" s="14" t="inlineStr">
        <is>
          <t>Warm Prospect</t>
        </is>
      </c>
      <c r="L802" s="17">
        <f>IF(C802&gt;0, 99 + (C802 * 2.5), 0)</f>
        <v/>
      </c>
    </row>
    <row r="803">
      <c r="A803" s="8" t="inlineStr">
        <is>
          <t>Titan Mechanical Services Group</t>
        </is>
      </c>
      <c r="B803" s="9" t="inlineStr">
        <is>
          <t>HVAC/Plumbing</t>
        </is>
      </c>
      <c r="C803" s="10" t="n">
        <v>92</v>
      </c>
      <c r="D803" s="8" t="inlineStr">
        <is>
          <t>Ford Transit 250</t>
        </is>
      </c>
      <c r="E803" s="8" t="inlineStr">
        <is>
          <t>Mark Wilson</t>
        </is>
      </c>
      <c r="F803" s="8" t="inlineStr">
        <is>
          <t>mark@titanmechanicalservicesgroup.com</t>
        </is>
      </c>
      <c r="G803" s="8" t="inlineStr">
        <is>
          <t>702-555-5489</t>
        </is>
      </c>
      <c r="H803" s="9" t="inlineStr">
        <is>
          <t>DOT25953</t>
        </is>
      </c>
      <c r="I803" s="11" t="n">
        <v>0.251</v>
      </c>
      <c r="J803" s="8" t="inlineStr">
        <is>
          <t>Transit 114°F Electrical Module Overheat Wire Ground Fire Risk</t>
        </is>
      </c>
      <c r="K803" s="9" t="inlineStr">
        <is>
          <t>Warm Prospect</t>
        </is>
      </c>
      <c r="L803" s="12">
        <f>IF(C803&gt;0, 99 + (C803 * 2.5), 0)</f>
        <v/>
      </c>
    </row>
    <row r="804">
      <c r="A804" s="13" t="inlineStr">
        <is>
          <t>Valley Lighting &amp; Power Inc</t>
        </is>
      </c>
      <c r="B804" s="14" t="inlineStr">
        <is>
          <t>Electrical Services</t>
        </is>
      </c>
      <c r="C804" s="15" t="n">
        <v>22</v>
      </c>
      <c r="D804" s="13" t="inlineStr">
        <is>
          <t>Chevy Express 3500</t>
        </is>
      </c>
      <c r="E804" s="13" t="inlineStr">
        <is>
          <t>Charles Wilson</t>
        </is>
      </c>
      <c r="F804" s="13" t="inlineStr">
        <is>
          <t>charles@valleylightingpowerinc.com</t>
        </is>
      </c>
      <c r="G804" s="13" t="inlineStr">
        <is>
          <t>702-555-9723</t>
        </is>
      </c>
      <c r="H804" s="14" t="inlineStr">
        <is>
          <t>DOT68833</t>
        </is>
      </c>
      <c r="I804" s="16" t="n">
        <v>0.138</v>
      </c>
      <c r="J804" s="13" t="inlineStr">
        <is>
          <t>Express Engine Bay Hose Thermal Crack Hazard</t>
        </is>
      </c>
      <c r="K804" s="14" t="inlineStr">
        <is>
          <t>Warm Prospect</t>
        </is>
      </c>
      <c r="L804" s="17">
        <f>IF(C804&gt;0, 99 + (C804 * 2.5), 0)</f>
        <v/>
      </c>
    </row>
    <row r="805">
      <c r="A805" s="8" t="inlineStr">
        <is>
          <t>Valley Air Conditioning Group</t>
        </is>
      </c>
      <c r="B805" s="9" t="inlineStr">
        <is>
          <t>HVAC/Plumbing</t>
        </is>
      </c>
      <c r="C805" s="10" t="n">
        <v>67</v>
      </c>
      <c r="D805" s="8" t="inlineStr">
        <is>
          <t>Ford Transit 250</t>
        </is>
      </c>
      <c r="E805" s="8" t="inlineStr">
        <is>
          <t>Mark Williams</t>
        </is>
      </c>
      <c r="F805" s="8" t="inlineStr">
        <is>
          <t>mark@valleyairconditioninggroup.com</t>
        </is>
      </c>
      <c r="G805" s="8" t="inlineStr">
        <is>
          <t>702-555-5095</t>
        </is>
      </c>
      <c r="H805" s="9" t="inlineStr">
        <is>
          <t>DOT35805</t>
        </is>
      </c>
      <c r="I805" s="11" t="n">
        <v>0.091</v>
      </c>
      <c r="J805" s="8" t="inlineStr">
        <is>
          <t>Transit 114°F Electrical Module Overheat Wire Ground Fire Risk</t>
        </is>
      </c>
      <c r="K805" s="9" t="inlineStr">
        <is>
          <t>Warm Prospect</t>
        </is>
      </c>
      <c r="L805" s="12">
        <f>IF(C805&gt;0, 99 + (C805 * 2.5), 0)</f>
        <v/>
      </c>
    </row>
    <row r="806">
      <c r="A806" s="13" t="inlineStr">
        <is>
          <t>Vegas Valley Mechanical Services Inc</t>
        </is>
      </c>
      <c r="B806" s="14" t="inlineStr">
        <is>
          <t>HVAC/Plumbing</t>
        </is>
      </c>
      <c r="C806" s="15" t="n">
        <v>132</v>
      </c>
      <c r="D806" s="13" t="inlineStr">
        <is>
          <t>Ford Transit 250</t>
        </is>
      </c>
      <c r="E806" s="13" t="inlineStr">
        <is>
          <t>Mark Smith</t>
        </is>
      </c>
      <c r="F806" s="13" t="inlineStr">
        <is>
          <t>mark@vegasvalleymechanicalservicesinc.com</t>
        </is>
      </c>
      <c r="G806" s="13" t="inlineStr">
        <is>
          <t>702-555-6477</t>
        </is>
      </c>
      <c r="H806" s="14" t="inlineStr">
        <is>
          <t>DOT42821</t>
        </is>
      </c>
      <c r="I806" s="16" t="n">
        <v>0.117</v>
      </c>
      <c r="J806" s="13" t="inlineStr">
        <is>
          <t>Transit 114°F Electrical Module Overheat Wire Ground Fire Risk</t>
        </is>
      </c>
      <c r="K806" s="14" t="inlineStr">
        <is>
          <t>Warm Prospect</t>
        </is>
      </c>
      <c r="L806" s="17">
        <f>IF(C806&gt;0, 99 + (C806 * 2.5), 0)</f>
        <v/>
      </c>
    </row>
    <row r="807">
      <c r="A807" s="8" t="inlineStr">
        <is>
          <t>Valley Air Conditioning LLC</t>
        </is>
      </c>
      <c r="B807" s="9" t="inlineStr">
        <is>
          <t>HVAC/Plumbing</t>
        </is>
      </c>
      <c r="C807" s="10" t="n">
        <v>70</v>
      </c>
      <c r="D807" s="8" t="inlineStr">
        <is>
          <t>Chevy Express 2500</t>
        </is>
      </c>
      <c r="E807" s="8" t="inlineStr">
        <is>
          <t>James Martin</t>
        </is>
      </c>
      <c r="F807" s="8" t="inlineStr">
        <is>
          <t>james@valleyairconditioningllc.com</t>
        </is>
      </c>
      <c r="G807" s="8" t="inlineStr">
        <is>
          <t>702-555-8184</t>
        </is>
      </c>
      <c r="H807" s="9" t="inlineStr">
        <is>
          <t>DOT22539</t>
        </is>
      </c>
      <c r="I807" s="11" t="n">
        <v>0.234</v>
      </c>
      <c r="J807" s="8" t="inlineStr">
        <is>
          <t>Express Engine Bay Hose Thermal Crack Hazard</t>
        </is>
      </c>
      <c r="K807" s="9" t="inlineStr">
        <is>
          <t>Audit Run</t>
        </is>
      </c>
      <c r="L807" s="12">
        <f>IF(C807&gt;0, 99 + (C807 * 2.5), 0)</f>
        <v/>
      </c>
    </row>
    <row r="808">
      <c r="A808" s="13" t="inlineStr">
        <is>
          <t>Apex Air Conditioning Inc</t>
        </is>
      </c>
      <c r="B808" s="14" t="inlineStr">
        <is>
          <t>HVAC/Plumbing</t>
        </is>
      </c>
      <c r="C808" s="15" t="n">
        <v>90</v>
      </c>
      <c r="D808" s="13" t="inlineStr">
        <is>
          <t>GMC Savana 2500</t>
        </is>
      </c>
      <c r="E808" s="13" t="inlineStr">
        <is>
          <t>James Jones</t>
        </is>
      </c>
      <c r="F808" s="13" t="inlineStr">
        <is>
          <t>james@apexairconditioninginc.com</t>
        </is>
      </c>
      <c r="G808" s="13" t="inlineStr">
        <is>
          <t>702-555-2015</t>
        </is>
      </c>
      <c r="H808" s="14" t="inlineStr">
        <is>
          <t>DOT67923</t>
        </is>
      </c>
      <c r="I808" s="16" t="n">
        <v>0.057</v>
      </c>
      <c r="J808" s="13" t="inlineStr">
        <is>
          <t>Savana Desert Fuel Line Seal Degradation Failure</t>
        </is>
      </c>
      <c r="K808" s="14" t="inlineStr">
        <is>
          <t>Audit Run</t>
        </is>
      </c>
      <c r="L808" s="17">
        <f>IF(C808&gt;0, 99 + (C808 * 2.5), 0)</f>
        <v/>
      </c>
    </row>
    <row r="809">
      <c r="A809" s="8" t="inlineStr">
        <is>
          <t>Titan Shuttles Inc</t>
        </is>
      </c>
      <c r="B809" s="9" t="inlineStr">
        <is>
          <t>Boutique Transit</t>
        </is>
      </c>
      <c r="C809" s="10" t="n">
        <v>24</v>
      </c>
      <c r="D809" s="8" t="inlineStr">
        <is>
          <t>Ford Transit 350</t>
        </is>
      </c>
      <c r="E809" s="8" t="inlineStr">
        <is>
          <t>Andrew Johnson</t>
        </is>
      </c>
      <c r="F809" s="8" t="inlineStr">
        <is>
          <t>andrew@titanshuttlesinc.com</t>
        </is>
      </c>
      <c r="G809" s="8" t="inlineStr">
        <is>
          <t>702-555-5831</t>
        </is>
      </c>
      <c r="H809" s="9" t="inlineStr">
        <is>
          <t>DOT59998</t>
        </is>
      </c>
      <c r="I809" s="11" t="n">
        <v>0.165</v>
      </c>
      <c r="J809" s="8" t="inlineStr">
        <is>
          <t>Transit 114°F Electrical Module Overheat Wire Ground Fire Risk</t>
        </is>
      </c>
      <c r="K809" s="9" t="inlineStr">
        <is>
          <t>Audit Run</t>
        </is>
      </c>
      <c r="L809" s="12">
        <f>IF(C809&gt;0, 99 + (C809 * 2.5), 0)</f>
        <v/>
      </c>
    </row>
    <row r="810">
      <c r="A810" s="13" t="inlineStr">
        <is>
          <t>Sunset Lighting &amp; Power Group</t>
        </is>
      </c>
      <c r="B810" s="14" t="inlineStr">
        <is>
          <t>Electrical Services</t>
        </is>
      </c>
      <c r="C810" s="15" t="n">
        <v>126</v>
      </c>
      <c r="D810" s="13" t="inlineStr">
        <is>
          <t>Chevy Express 2500</t>
        </is>
      </c>
      <c r="E810" s="13" t="inlineStr">
        <is>
          <t>Anthony Anderson</t>
        </is>
      </c>
      <c r="F810" s="13" t="inlineStr">
        <is>
          <t>anthony@sunsetlightingpowergroup.com</t>
        </is>
      </c>
      <c r="G810" s="13" t="inlineStr">
        <is>
          <t>702-555-8014</t>
        </is>
      </c>
      <c r="H810" s="14" t="inlineStr">
        <is>
          <t>DOT91292</t>
        </is>
      </c>
      <c r="I810" s="16" t="n">
        <v>0.232</v>
      </c>
      <c r="J810" s="13" t="inlineStr">
        <is>
          <t>Express Engine Bay Hose Thermal Crack Hazard</t>
        </is>
      </c>
      <c r="K810" s="14" t="inlineStr">
        <is>
          <t>Warm Prospect</t>
        </is>
      </c>
      <c r="L810" s="17">
        <f>IF(C810&gt;0, 99 + (C810 * 2.5), 0)</f>
        <v/>
      </c>
    </row>
    <row r="811">
      <c r="A811" s="8" t="inlineStr">
        <is>
          <t>Vegas Valley Shuttles LLC</t>
        </is>
      </c>
      <c r="B811" s="9" t="inlineStr">
        <is>
          <t>Boutique Transit</t>
        </is>
      </c>
      <c r="C811" s="10" t="n">
        <v>94</v>
      </c>
      <c r="D811" s="8" t="inlineStr">
        <is>
          <t>Ford Transit 350</t>
        </is>
      </c>
      <c r="E811" s="8" t="inlineStr">
        <is>
          <t>Joshua Miller</t>
        </is>
      </c>
      <c r="F811" s="8" t="inlineStr">
        <is>
          <t>joshua@vegasvalleyshuttlesllc.com</t>
        </is>
      </c>
      <c r="G811" s="8" t="inlineStr">
        <is>
          <t>702-555-2769</t>
        </is>
      </c>
      <c r="H811" s="9" t="inlineStr">
        <is>
          <t>DOT23459</t>
        </is>
      </c>
      <c r="I811" s="11" t="n">
        <v>0.044</v>
      </c>
      <c r="J811" s="8" t="inlineStr">
        <is>
          <t>Transit 114°F Electrical Module Overheat Wire Ground Fire Risk</t>
        </is>
      </c>
      <c r="K811" s="9" t="inlineStr">
        <is>
          <t>Warm Prospect</t>
        </is>
      </c>
      <c r="L811" s="12">
        <f>IF(C811&gt;0, 99 + (C811 * 2.5), 0)</f>
        <v/>
      </c>
    </row>
    <row r="812">
      <c r="A812" s="13" t="inlineStr">
        <is>
          <t>Henderson Airport Express Group</t>
        </is>
      </c>
      <c r="B812" s="14" t="inlineStr">
        <is>
          <t>Boutique Transit</t>
        </is>
      </c>
      <c r="C812" s="15" t="n">
        <v>140</v>
      </c>
      <c r="D812" s="13" t="inlineStr">
        <is>
          <t>Mercedes-Benz Sprinter 2500</t>
        </is>
      </c>
      <c r="E812" s="13" t="inlineStr">
        <is>
          <t>Charles Lopez</t>
        </is>
      </c>
      <c r="F812" s="13" t="inlineStr">
        <is>
          <t>charles@hendersonairportexpressgroup.com</t>
        </is>
      </c>
      <c r="G812" s="13" t="inlineStr">
        <is>
          <t>702-555-7897</t>
        </is>
      </c>
      <c r="H812" s="14" t="inlineStr">
        <is>
          <t>DOT73097</t>
        </is>
      </c>
      <c r="I812" s="16" t="n">
        <v>0.265</v>
      </c>
      <c r="J812" s="13" t="inlineStr">
        <is>
          <t>Sprinter AC Comp Condensation Drain Backup Wiring Short</t>
        </is>
      </c>
      <c r="K812" s="14" t="inlineStr">
        <is>
          <t>Warm Prospect</t>
        </is>
      </c>
      <c r="L812" s="17">
        <f>IF(C812&gt;0, 99 + (C812 * 2.5), 0)</f>
        <v/>
      </c>
    </row>
    <row r="813">
      <c r="A813" s="8" t="inlineStr">
        <is>
          <t>Sunset Plumbing &amp; Drain Inc</t>
        </is>
      </c>
      <c r="B813" s="9" t="inlineStr">
        <is>
          <t>HVAC/Plumbing</t>
        </is>
      </c>
      <c r="C813" s="10" t="n">
        <v>42</v>
      </c>
      <c r="D813" s="8" t="inlineStr">
        <is>
          <t>Ford Transit 250</t>
        </is>
      </c>
      <c r="E813" s="8" t="inlineStr">
        <is>
          <t>Christopher Jackson</t>
        </is>
      </c>
      <c r="F813" s="8" t="inlineStr">
        <is>
          <t>christopher@sunsetplumbingdraininc.com</t>
        </is>
      </c>
      <c r="G813" s="8" t="inlineStr">
        <is>
          <t>702-555-8140</t>
        </is>
      </c>
      <c r="H813" s="9" t="inlineStr">
        <is>
          <t>DOT77256</t>
        </is>
      </c>
      <c r="I813" s="11" t="n">
        <v>0.338</v>
      </c>
      <c r="J813" s="8" t="inlineStr">
        <is>
          <t>Transit 114°F Electrical Module Overheat Wire Ground Fire Risk</t>
        </is>
      </c>
      <c r="K813" s="9" t="inlineStr">
        <is>
          <t>Warm Prospect</t>
        </is>
      </c>
      <c r="L813" s="12">
        <f>IF(C813&gt;0, 99 + (C813 * 2.5), 0)</f>
        <v/>
      </c>
    </row>
    <row r="814">
      <c r="A814" s="13" t="inlineStr">
        <is>
          <t>Las Vegas Lighting &amp; Power Inc</t>
        </is>
      </c>
      <c r="B814" s="14" t="inlineStr">
        <is>
          <t>Electrical Services</t>
        </is>
      </c>
      <c r="C814" s="15" t="n">
        <v>130</v>
      </c>
      <c r="D814" s="13" t="inlineStr">
        <is>
          <t>Chevy Express 3500</t>
        </is>
      </c>
      <c r="E814" s="13" t="inlineStr">
        <is>
          <t>Christopher Martin</t>
        </is>
      </c>
      <c r="F814" s="13" t="inlineStr">
        <is>
          <t>christopher@lasvegaslightingpowerinc.com</t>
        </is>
      </c>
      <c r="G814" s="13" t="inlineStr">
        <is>
          <t>702-555-6618</t>
        </is>
      </c>
      <c r="H814" s="14" t="inlineStr">
        <is>
          <t>DOT48150</t>
        </is>
      </c>
      <c r="I814" s="16" t="n">
        <v>0.154</v>
      </c>
      <c r="J814" s="13" t="inlineStr">
        <is>
          <t>Express Engine Bay Hose Thermal Crack Hazard</t>
        </is>
      </c>
      <c r="K814" s="14" t="inlineStr">
        <is>
          <t>Warm Prospect</t>
        </is>
      </c>
      <c r="L814" s="17">
        <f>IF(C814&gt;0, 99 + (C814 * 2.5), 0)</f>
        <v/>
      </c>
    </row>
    <row r="815">
      <c r="A815" s="8" t="inlineStr">
        <is>
          <t>Las Vegas Charter Buses Group</t>
        </is>
      </c>
      <c r="B815" s="9" t="inlineStr">
        <is>
          <t>Boutique Transit</t>
        </is>
      </c>
      <c r="C815" s="10" t="n">
        <v>24</v>
      </c>
      <c r="D815" s="8" t="inlineStr">
        <is>
          <t>Mercedes-Benz Sprinter 2500</t>
        </is>
      </c>
      <c r="E815" s="8" t="inlineStr">
        <is>
          <t>Thomas Taylor</t>
        </is>
      </c>
      <c r="F815" s="8" t="inlineStr">
        <is>
          <t>thomas@lasvegascharterbusesgroup.com</t>
        </is>
      </c>
      <c r="G815" s="8" t="inlineStr">
        <is>
          <t>702-555-1894</t>
        </is>
      </c>
      <c r="H815" s="9" t="inlineStr">
        <is>
          <t>DOT65320</t>
        </is>
      </c>
      <c r="I815" s="11" t="n">
        <v>0.147</v>
      </c>
      <c r="J815" s="8" t="inlineStr">
        <is>
          <t>Sprinter AC Comp Condensation Drain Backup Wiring Short</t>
        </is>
      </c>
      <c r="K815" s="9" t="inlineStr">
        <is>
          <t>Warm Prospect</t>
        </is>
      </c>
      <c r="L815" s="12">
        <f>IF(C815&gt;0, 99 + (C815 * 2.5), 0)</f>
        <v/>
      </c>
    </row>
    <row r="816">
      <c r="A816" s="13" t="inlineStr">
        <is>
          <t>Spring Valley Airport Express Inc</t>
        </is>
      </c>
      <c r="B816" s="14" t="inlineStr">
        <is>
          <t>Boutique Transit</t>
        </is>
      </c>
      <c r="C816" s="15" t="n">
        <v>58</v>
      </c>
      <c r="D816" s="13" t="inlineStr">
        <is>
          <t>Mercedes-Benz Sprinter 3500</t>
        </is>
      </c>
      <c r="E816" s="13" t="inlineStr">
        <is>
          <t>Steven Anderson</t>
        </is>
      </c>
      <c r="F816" s="13" t="inlineStr">
        <is>
          <t>steven@springvalleyairportexpressinc.com</t>
        </is>
      </c>
      <c r="G816" s="13" t="inlineStr">
        <is>
          <t>702-555-6425</t>
        </is>
      </c>
      <c r="H816" s="14" t="inlineStr">
        <is>
          <t>DOT85813</t>
        </is>
      </c>
      <c r="I816" s="16" t="n">
        <v>0.215</v>
      </c>
      <c r="J816" s="13" t="inlineStr">
        <is>
          <t>Sprinter AC Comp Condensation Drain Backup Wiring Short</t>
        </is>
      </c>
      <c r="K816" s="14" t="inlineStr">
        <is>
          <t>Warm Prospect</t>
        </is>
      </c>
      <c r="L816" s="17">
        <f>IF(C816&gt;0, 99 + (C816 * 2.5), 0)</f>
        <v/>
      </c>
    </row>
    <row r="817">
      <c r="A817" s="8" t="inlineStr">
        <is>
          <t>Mojave Tours &amp; Transit LLC</t>
        </is>
      </c>
      <c r="B817" s="9" t="inlineStr">
        <is>
          <t>Boutique Transit</t>
        </is>
      </c>
      <c r="C817" s="10" t="n">
        <v>36</v>
      </c>
      <c r="D817" s="8" t="inlineStr">
        <is>
          <t>Mercedes-Benz Sprinter 2500</t>
        </is>
      </c>
      <c r="E817" s="8" t="inlineStr">
        <is>
          <t>Donald Johnson</t>
        </is>
      </c>
      <c r="F817" s="8" t="inlineStr">
        <is>
          <t>donald@mojavetourstransitllc.com</t>
        </is>
      </c>
      <c r="G817" s="8" t="inlineStr">
        <is>
          <t>702-555-9125</t>
        </is>
      </c>
      <c r="H817" s="9" t="inlineStr">
        <is>
          <t>DOT38757</t>
        </is>
      </c>
      <c r="I817" s="11" t="n">
        <v>0.325</v>
      </c>
      <c r="J817" s="8" t="inlineStr">
        <is>
          <t>Sprinter AC Comp Condensation Drain Backup Wiring Short</t>
        </is>
      </c>
      <c r="K817" s="9" t="inlineStr">
        <is>
          <t>Warm Prospect</t>
        </is>
      </c>
      <c r="L817" s="12">
        <f>IF(C817&gt;0, 99 + (C817 * 2.5), 0)</f>
        <v/>
      </c>
    </row>
    <row r="818">
      <c r="A818" s="13" t="inlineStr">
        <is>
          <t>Sunset Tours &amp; Transit Group</t>
        </is>
      </c>
      <c r="B818" s="14" t="inlineStr">
        <is>
          <t>Boutique Transit</t>
        </is>
      </c>
      <c r="C818" s="15" t="n">
        <v>71</v>
      </c>
      <c r="D818" s="13" t="inlineStr">
        <is>
          <t>Mercedes-Benz Sprinter 2500</t>
        </is>
      </c>
      <c r="E818" s="13" t="inlineStr">
        <is>
          <t>Steven Hernandez</t>
        </is>
      </c>
      <c r="F818" s="13" t="inlineStr">
        <is>
          <t>steven@sunsettourstransitgroup.com</t>
        </is>
      </c>
      <c r="G818" s="13" t="inlineStr">
        <is>
          <t>702-555-7158</t>
        </is>
      </c>
      <c r="H818" s="14" t="inlineStr">
        <is>
          <t>DOT36911</t>
        </is>
      </c>
      <c r="I818" s="16" t="n">
        <v>0.164</v>
      </c>
      <c r="J818" s="13" t="inlineStr">
        <is>
          <t>Sprinter AC Comp Condensation Drain Backup Wiring Short</t>
        </is>
      </c>
      <c r="K818" s="14" t="inlineStr">
        <is>
          <t>Warm Prospect</t>
        </is>
      </c>
      <c r="L818" s="17">
        <f>IF(C818&gt;0, 99 + (C818 * 2.5), 0)</f>
        <v/>
      </c>
    </row>
    <row r="819">
      <c r="A819" s="8" t="inlineStr">
        <is>
          <t>Silver State Electric &amp; Solar LLC</t>
        </is>
      </c>
      <c r="B819" s="9" t="inlineStr">
        <is>
          <t>Electrical Services</t>
        </is>
      </c>
      <c r="C819" s="10" t="n">
        <v>39</v>
      </c>
      <c r="D819" s="8" t="inlineStr">
        <is>
          <t>Chevy Express 2500</t>
        </is>
      </c>
      <c r="E819" s="8" t="inlineStr">
        <is>
          <t>David Martinez</t>
        </is>
      </c>
      <c r="F819" s="8" t="inlineStr">
        <is>
          <t>david@silverstateelectricsolarllc.com</t>
        </is>
      </c>
      <c r="G819" s="8" t="inlineStr">
        <is>
          <t>702-555-8215</t>
        </is>
      </c>
      <c r="H819" s="9" t="inlineStr">
        <is>
          <t>DOT35480</t>
        </is>
      </c>
      <c r="I819" s="11" t="n">
        <v>0.236</v>
      </c>
      <c r="J819" s="8" t="inlineStr">
        <is>
          <t>Express Engine Bay Hose Thermal Crack Hazard</t>
        </is>
      </c>
      <c r="K819" s="9" t="inlineStr">
        <is>
          <t>Warm Prospect</t>
        </is>
      </c>
      <c r="L819" s="12">
        <f>IF(C819&gt;0, 99 + (C819 * 2.5), 0)</f>
        <v/>
      </c>
    </row>
    <row r="820">
      <c r="A820" s="13" t="inlineStr">
        <is>
          <t>Silver State Plumbing &amp; Drain Inc</t>
        </is>
      </c>
      <c r="B820" s="14" t="inlineStr">
        <is>
          <t>HVAC/Plumbing</t>
        </is>
      </c>
      <c r="C820" s="15" t="n">
        <v>54</v>
      </c>
      <c r="D820" s="13" t="inlineStr">
        <is>
          <t>Ford Transit 150</t>
        </is>
      </c>
      <c r="E820" s="13" t="inlineStr">
        <is>
          <t>Thomas Rodriguez</t>
        </is>
      </c>
      <c r="F820" s="13" t="inlineStr">
        <is>
          <t>thomas@silverstateplumbingdraininc.com</t>
        </is>
      </c>
      <c r="G820" s="13" t="inlineStr">
        <is>
          <t>702-555-3855</t>
        </is>
      </c>
      <c r="H820" s="14" t="inlineStr">
        <is>
          <t>DOT54540</t>
        </is>
      </c>
      <c r="I820" s="16" t="n">
        <v>0.303</v>
      </c>
      <c r="J820" s="13" t="inlineStr">
        <is>
          <t>Transit 114°F Electrical Module Overheat Wire Ground Fire Risk</t>
        </is>
      </c>
      <c r="K820" s="14" t="inlineStr">
        <is>
          <t>Warm Prospect</t>
        </is>
      </c>
      <c r="L820" s="17">
        <f>IF(C820&gt;0, 99 + (C820 * 2.5), 0)</f>
        <v/>
      </c>
    </row>
    <row r="821">
      <c r="A821" s="8" t="inlineStr">
        <is>
          <t>Sunset Air Conditioning Inc</t>
        </is>
      </c>
      <c r="B821" s="9" t="inlineStr">
        <is>
          <t>HVAC/Plumbing</t>
        </is>
      </c>
      <c r="C821" s="10" t="n">
        <v>35</v>
      </c>
      <c r="D821" s="8" t="inlineStr">
        <is>
          <t>Ford Transit 150</t>
        </is>
      </c>
      <c r="E821" s="8" t="inlineStr">
        <is>
          <t>John Jones</t>
        </is>
      </c>
      <c r="F821" s="8" t="inlineStr">
        <is>
          <t>john@sunsetairconditioninginc.com</t>
        </is>
      </c>
      <c r="G821" s="8" t="inlineStr">
        <is>
          <t>702-555-7208</t>
        </is>
      </c>
      <c r="H821" s="9" t="inlineStr">
        <is>
          <t>DOT95835</t>
        </is>
      </c>
      <c r="I821" s="11" t="n">
        <v>0.284</v>
      </c>
      <c r="J821" s="8" t="inlineStr">
        <is>
          <t>Transit 114°F Electrical Module Overheat Wire Ground Fire Risk</t>
        </is>
      </c>
      <c r="K821" s="9" t="inlineStr">
        <is>
          <t>Warm Prospect</t>
        </is>
      </c>
      <c r="L821" s="12">
        <f>IF(C821&gt;0, 99 + (C821 * 2.5), 0)</f>
        <v/>
      </c>
    </row>
    <row r="822">
      <c r="A822" s="13" t="inlineStr">
        <is>
          <t>Spring Valley Power Systems LLC</t>
        </is>
      </c>
      <c r="B822" s="14" t="inlineStr">
        <is>
          <t>Electrical Services</t>
        </is>
      </c>
      <c r="C822" s="15" t="n">
        <v>71</v>
      </c>
      <c r="D822" s="13" t="inlineStr">
        <is>
          <t>Ram ProMaster 1500</t>
        </is>
      </c>
      <c r="E822" s="13" t="inlineStr">
        <is>
          <t>Matthew Lopez</t>
        </is>
      </c>
      <c r="F822" s="13" t="inlineStr">
        <is>
          <t>matthew@springvalleypowersystemsllc.com</t>
        </is>
      </c>
      <c r="G822" s="13" t="inlineStr">
        <is>
          <t>702-555-3807</t>
        </is>
      </c>
      <c r="H822" s="14" t="inlineStr">
        <is>
          <t>DOT79065</t>
        </is>
      </c>
      <c r="I822" s="16" t="n">
        <v>0.343</v>
      </c>
      <c r="J822" s="13" t="inlineStr">
        <is>
          <t>ProMaster Brake Line Rubbing Collision Abrasion Leak</t>
        </is>
      </c>
      <c r="K822" s="14" t="inlineStr">
        <is>
          <t>Audit Run</t>
        </is>
      </c>
      <c r="L822" s="17">
        <f>IF(C822&gt;0, 99 + (C822 * 2.5), 0)</f>
        <v/>
      </c>
    </row>
    <row r="823">
      <c r="A823" s="8" t="inlineStr">
        <is>
          <t>Spring Valley Electric Pros Inc</t>
        </is>
      </c>
      <c r="B823" s="9" t="inlineStr">
        <is>
          <t>Electrical Services</t>
        </is>
      </c>
      <c r="C823" s="10" t="n">
        <v>46</v>
      </c>
      <c r="D823" s="8" t="inlineStr">
        <is>
          <t>Chevy Express 2500</t>
        </is>
      </c>
      <c r="E823" s="8" t="inlineStr">
        <is>
          <t>David Miller</t>
        </is>
      </c>
      <c r="F823" s="8" t="inlineStr">
        <is>
          <t>david@springvalleyelectricprosinc.com</t>
        </is>
      </c>
      <c r="G823" s="8" t="inlineStr">
        <is>
          <t>702-555-4140</t>
        </is>
      </c>
      <c r="H823" s="9" t="inlineStr">
        <is>
          <t>DOT79803</t>
        </is>
      </c>
      <c r="I823" s="11" t="n">
        <v>0.157</v>
      </c>
      <c r="J823" s="8" t="inlineStr">
        <is>
          <t>Express Engine Bay Hose Thermal Crack Hazard</t>
        </is>
      </c>
      <c r="K823" s="9" t="inlineStr">
        <is>
          <t>Warm Prospect</t>
        </is>
      </c>
      <c r="L823" s="12">
        <f>IF(C823&gt;0, 99 + (C823 * 2.5), 0)</f>
        <v/>
      </c>
    </row>
    <row r="824">
      <c r="A824" s="13" t="inlineStr">
        <is>
          <t>Las Vegas Wiring Solutions Group</t>
        </is>
      </c>
      <c r="B824" s="14" t="inlineStr">
        <is>
          <t>Electrical Services</t>
        </is>
      </c>
      <c r="C824" s="15" t="n">
        <v>21</v>
      </c>
      <c r="D824" s="13" t="inlineStr">
        <is>
          <t>Chevy Express 3500</t>
        </is>
      </c>
      <c r="E824" s="13" t="inlineStr">
        <is>
          <t>Kenneth Jackson</t>
        </is>
      </c>
      <c r="F824" s="13" t="inlineStr">
        <is>
          <t>kenneth@lasvegaswiringsolutionsgroup.com</t>
        </is>
      </c>
      <c r="G824" s="13" t="inlineStr">
        <is>
          <t>702-555-4098</t>
        </is>
      </c>
      <c r="H824" s="14" t="inlineStr">
        <is>
          <t>DOT80184</t>
        </is>
      </c>
      <c r="I824" s="16" t="n">
        <v>0.131</v>
      </c>
      <c r="J824" s="13" t="inlineStr">
        <is>
          <t>Express Engine Bay Hose Thermal Crack Hazard</t>
        </is>
      </c>
      <c r="K824" s="14" t="inlineStr">
        <is>
          <t>Warm Prospect</t>
        </is>
      </c>
      <c r="L824" s="17">
        <f>IF(C824&gt;0, 99 + (C824 * 2.5), 0)</f>
        <v/>
      </c>
    </row>
    <row r="825">
      <c r="A825" s="8" t="inlineStr">
        <is>
          <t>Sunset Electric &amp; Solar Group</t>
        </is>
      </c>
      <c r="B825" s="9" t="inlineStr">
        <is>
          <t>Electrical Services</t>
        </is>
      </c>
      <c r="C825" s="10" t="n">
        <v>42</v>
      </c>
      <c r="D825" s="8" t="inlineStr">
        <is>
          <t>Ram ProMaster 2500</t>
        </is>
      </c>
      <c r="E825" s="8" t="inlineStr">
        <is>
          <t>Paul Jackson</t>
        </is>
      </c>
      <c r="F825" s="8" t="inlineStr">
        <is>
          <t>paul@sunsetelectricsolargroup.com</t>
        </is>
      </c>
      <c r="G825" s="8" t="inlineStr">
        <is>
          <t>702-555-9011</t>
        </is>
      </c>
      <c r="H825" s="9" t="inlineStr">
        <is>
          <t>DOT37425</t>
        </is>
      </c>
      <c r="I825" s="11" t="n">
        <v>0.265</v>
      </c>
      <c r="J825" s="8" t="inlineStr">
        <is>
          <t>ProMaster Brake Line Rubbing Collision Abrasion Leak</t>
        </is>
      </c>
      <c r="K825" s="9" t="inlineStr">
        <is>
          <t>Warm Prospect</t>
        </is>
      </c>
      <c r="L825" s="12">
        <f>IF(C825&gt;0, 99 + (C825 * 2.5), 0)</f>
        <v/>
      </c>
    </row>
    <row r="826">
      <c r="A826" s="13" t="inlineStr">
        <is>
          <t>Las Vegas Shuttles Inc</t>
        </is>
      </c>
      <c r="B826" s="14" t="inlineStr">
        <is>
          <t>Boutique Transit</t>
        </is>
      </c>
      <c r="C826" s="15" t="n">
        <v>109</v>
      </c>
      <c r="D826" s="13" t="inlineStr">
        <is>
          <t>Ford Transit 350</t>
        </is>
      </c>
      <c r="E826" s="13" t="inlineStr">
        <is>
          <t>Paul Lopez</t>
        </is>
      </c>
      <c r="F826" s="13" t="inlineStr">
        <is>
          <t>paul@lasvegasshuttlesinc.com</t>
        </is>
      </c>
      <c r="G826" s="13" t="inlineStr">
        <is>
          <t>702-555-9168</t>
        </is>
      </c>
      <c r="H826" s="14" t="inlineStr">
        <is>
          <t>DOT78012</t>
        </is>
      </c>
      <c r="I826" s="16" t="n">
        <v>0.184</v>
      </c>
      <c r="J826" s="13" t="inlineStr">
        <is>
          <t>Transit 114°F Electrical Module Overheat Wire Ground Fire Risk</t>
        </is>
      </c>
      <c r="K826" s="14" t="inlineStr">
        <is>
          <t>Warm Prospect</t>
        </is>
      </c>
      <c r="L826" s="17">
        <f>IF(C826&gt;0, 99 + (C826 * 2.5), 0)</f>
        <v/>
      </c>
    </row>
    <row r="827">
      <c r="A827" s="8" t="inlineStr">
        <is>
          <t>Valley Logistics Group</t>
        </is>
      </c>
      <c r="B827" s="9" t="inlineStr">
        <is>
          <t>Boutique Transit</t>
        </is>
      </c>
      <c r="C827" s="10" t="n">
        <v>136</v>
      </c>
      <c r="D827" s="8" t="inlineStr">
        <is>
          <t>Mercedes-Benz Sprinter 3500</t>
        </is>
      </c>
      <c r="E827" s="8" t="inlineStr">
        <is>
          <t>Steven Rodriguez</t>
        </is>
      </c>
      <c r="F827" s="8" t="inlineStr">
        <is>
          <t>steven@valleylogisticsgroup.com</t>
        </is>
      </c>
      <c r="G827" s="8" t="inlineStr">
        <is>
          <t>702-555-7569</t>
        </is>
      </c>
      <c r="H827" s="9" t="inlineStr">
        <is>
          <t>DOT93637</t>
        </is>
      </c>
      <c r="I827" s="11" t="n">
        <v>0.326</v>
      </c>
      <c r="J827" s="8" t="inlineStr">
        <is>
          <t>Sprinter AC Comp Condensation Drain Backup Wiring Short</t>
        </is>
      </c>
      <c r="K827" s="9" t="inlineStr">
        <is>
          <t>Audit Run</t>
        </is>
      </c>
      <c r="L827" s="12">
        <f>IF(C827&gt;0, 99 + (C827 * 2.5), 0)</f>
        <v/>
      </c>
    </row>
    <row r="828">
      <c r="A828" s="13" t="inlineStr">
        <is>
          <t>Silver State Airport Express Inc</t>
        </is>
      </c>
      <c r="B828" s="14" t="inlineStr">
        <is>
          <t>Boutique Transit</t>
        </is>
      </c>
      <c r="C828" s="15" t="n">
        <v>125</v>
      </c>
      <c r="D828" s="13" t="inlineStr">
        <is>
          <t>Mercedes-Benz Sprinter 2500</t>
        </is>
      </c>
      <c r="E828" s="13" t="inlineStr">
        <is>
          <t>Thomas Gonzalez</t>
        </is>
      </c>
      <c r="F828" s="13" t="inlineStr">
        <is>
          <t>thomas@silverstateairportexpressinc.com</t>
        </is>
      </c>
      <c r="G828" s="13" t="inlineStr">
        <is>
          <t>702-555-4581</t>
        </is>
      </c>
      <c r="H828" s="14" t="inlineStr">
        <is>
          <t>DOT50107</t>
        </is>
      </c>
      <c r="I828" s="16" t="n">
        <v>0.172</v>
      </c>
      <c r="J828" s="13" t="inlineStr">
        <is>
          <t>Sprinter AC Comp Condensation Drain Backup Wiring Short</t>
        </is>
      </c>
      <c r="K828" s="14" t="inlineStr">
        <is>
          <t>Warm Prospect</t>
        </is>
      </c>
      <c r="L828" s="17">
        <f>IF(C828&gt;0, 99 + (C828 * 2.5), 0)</f>
        <v/>
      </c>
    </row>
    <row r="829">
      <c r="A829" s="8" t="inlineStr">
        <is>
          <t>Red Rock Chauffeurs LLC</t>
        </is>
      </c>
      <c r="B829" s="9" t="inlineStr">
        <is>
          <t>Boutique Transit</t>
        </is>
      </c>
      <c r="C829" s="10" t="n">
        <v>31</v>
      </c>
      <c r="D829" s="8" t="inlineStr">
        <is>
          <t>Ford Transit 350</t>
        </is>
      </c>
      <c r="E829" s="8" t="inlineStr">
        <is>
          <t>David Williams</t>
        </is>
      </c>
      <c r="F829" s="8" t="inlineStr">
        <is>
          <t>david@redrockchauffeursllc.com</t>
        </is>
      </c>
      <c r="G829" s="8" t="inlineStr">
        <is>
          <t>702-555-5834</t>
        </is>
      </c>
      <c r="H829" s="9" t="inlineStr">
        <is>
          <t>DOT68262</t>
        </is>
      </c>
      <c r="I829" s="11" t="n">
        <v>0.201</v>
      </c>
      <c r="J829" s="8" t="inlineStr">
        <is>
          <t>Transit 114°F Electrical Module Overheat Wire Ground Fire Risk</t>
        </is>
      </c>
      <c r="K829" s="9" t="inlineStr">
        <is>
          <t>Warm Prospect</t>
        </is>
      </c>
      <c r="L829" s="12">
        <f>IF(C829&gt;0, 99 + (C829 * 2.5), 0)</f>
        <v/>
      </c>
    </row>
    <row r="830">
      <c r="A830" s="13" t="inlineStr">
        <is>
          <t>Silver State Tours &amp; Transit Group</t>
        </is>
      </c>
      <c r="B830" s="14" t="inlineStr">
        <is>
          <t>Boutique Transit</t>
        </is>
      </c>
      <c r="C830" s="15" t="n">
        <v>96</v>
      </c>
      <c r="D830" s="13" t="inlineStr">
        <is>
          <t>Ford Transit 350</t>
        </is>
      </c>
      <c r="E830" s="13" t="inlineStr">
        <is>
          <t>Mark Anderson</t>
        </is>
      </c>
      <c r="F830" s="13" t="inlineStr">
        <is>
          <t>mark@silverstatetourstransitgroup.com</t>
        </is>
      </c>
      <c r="G830" s="13" t="inlineStr">
        <is>
          <t>702-555-8660</t>
        </is>
      </c>
      <c r="H830" s="14" t="inlineStr">
        <is>
          <t>DOT66689</t>
        </is>
      </c>
      <c r="I830" s="16" t="n">
        <v>0.167</v>
      </c>
      <c r="J830" s="13" t="inlineStr">
        <is>
          <t>Transit 114°F Electrical Module Overheat Wire Ground Fire Risk</t>
        </is>
      </c>
      <c r="K830" s="14" t="inlineStr">
        <is>
          <t>Warm Prospect</t>
        </is>
      </c>
      <c r="L830" s="17">
        <f>IF(C830&gt;0, 99 + (C830 * 2.5), 0)</f>
        <v/>
      </c>
    </row>
    <row r="831">
      <c r="A831" s="8" t="inlineStr">
        <is>
          <t>Mojave Wiring Solutions Inc</t>
        </is>
      </c>
      <c r="B831" s="9" t="inlineStr">
        <is>
          <t>Electrical Services</t>
        </is>
      </c>
      <c r="C831" s="10" t="n">
        <v>123</v>
      </c>
      <c r="D831" s="8" t="inlineStr">
        <is>
          <t>Chevy Express 3500</t>
        </is>
      </c>
      <c r="E831" s="8" t="inlineStr">
        <is>
          <t>Thomas Rodriguez</t>
        </is>
      </c>
      <c r="F831" s="8" t="inlineStr">
        <is>
          <t>thomas@mojavewiringsolutionsinc.com</t>
        </is>
      </c>
      <c r="G831" s="8" t="inlineStr">
        <is>
          <t>702-555-2243</t>
        </is>
      </c>
      <c r="H831" s="9" t="inlineStr">
        <is>
          <t>DOT57067</t>
        </is>
      </c>
      <c r="I831" s="11" t="n">
        <v>0.319</v>
      </c>
      <c r="J831" s="8" t="inlineStr">
        <is>
          <t>Express Engine Bay Hose Thermal Crack Hazard</t>
        </is>
      </c>
      <c r="K831" s="9" t="inlineStr">
        <is>
          <t>Warm Prospect</t>
        </is>
      </c>
      <c r="L831" s="12">
        <f>IF(C831&gt;0, 99 + (C831 * 2.5), 0)</f>
        <v/>
      </c>
    </row>
    <row r="832">
      <c r="A832" s="13" t="inlineStr">
        <is>
          <t>High Rise Logistics Group</t>
        </is>
      </c>
      <c r="B832" s="14" t="inlineStr">
        <is>
          <t>Boutique Transit</t>
        </is>
      </c>
      <c r="C832" s="15" t="n">
        <v>80</v>
      </c>
      <c r="D832" s="13" t="inlineStr">
        <is>
          <t>Mercedes-Benz Sprinter 2500</t>
        </is>
      </c>
      <c r="E832" s="13" t="inlineStr">
        <is>
          <t>Thomas Brown</t>
        </is>
      </c>
      <c r="F832" s="13" t="inlineStr">
        <is>
          <t>thomas@highriselogisticsgroup.com</t>
        </is>
      </c>
      <c r="G832" s="13" t="inlineStr">
        <is>
          <t>702-555-2942</t>
        </is>
      </c>
      <c r="H832" s="14" t="inlineStr">
        <is>
          <t>DOT19351</t>
        </is>
      </c>
      <c r="I832" s="16" t="n">
        <v>0.152</v>
      </c>
      <c r="J832" s="13" t="inlineStr">
        <is>
          <t>Sprinter AC Comp Condensation Drain Backup Wiring Short</t>
        </is>
      </c>
      <c r="K832" s="14" t="inlineStr">
        <is>
          <t>Audit Run</t>
        </is>
      </c>
      <c r="L832" s="17">
        <f>IF(C832&gt;0, 99 + (C832 * 2.5), 0)</f>
        <v/>
      </c>
    </row>
    <row r="833">
      <c r="A833" s="8" t="inlineStr">
        <is>
          <t>Valley Plumbing &amp; Drain Group</t>
        </is>
      </c>
      <c r="B833" s="9" t="inlineStr">
        <is>
          <t>HVAC/Plumbing</t>
        </is>
      </c>
      <c r="C833" s="10" t="n">
        <v>74</v>
      </c>
      <c r="D833" s="8" t="inlineStr">
        <is>
          <t>Ford Transit 150</t>
        </is>
      </c>
      <c r="E833" s="8" t="inlineStr">
        <is>
          <t>Christopher Rodriguez</t>
        </is>
      </c>
      <c r="F833" s="8" t="inlineStr">
        <is>
          <t>christopher@valleyplumbingdraingroup.com</t>
        </is>
      </c>
      <c r="G833" s="8" t="inlineStr">
        <is>
          <t>702-555-4123</t>
        </is>
      </c>
      <c r="H833" s="9" t="inlineStr">
        <is>
          <t>DOT89171</t>
        </is>
      </c>
      <c r="I833" s="11" t="n">
        <v>0.349</v>
      </c>
      <c r="J833" s="8" t="inlineStr">
        <is>
          <t>Transit 114°F Electrical Module Overheat Wire Ground Fire Risk</t>
        </is>
      </c>
      <c r="K833" s="9" t="inlineStr">
        <is>
          <t>Audit Run</t>
        </is>
      </c>
      <c r="L833" s="12">
        <f>IF(C833&gt;0, 99 + (C833 * 2.5), 0)</f>
        <v/>
      </c>
    </row>
    <row r="834">
      <c r="A834" s="13" t="inlineStr">
        <is>
          <t>Silver State Electrical Contractors LLC</t>
        </is>
      </c>
      <c r="B834" s="14" t="inlineStr">
        <is>
          <t>Electrical Services</t>
        </is>
      </c>
      <c r="C834" s="15" t="n">
        <v>113</v>
      </c>
      <c r="D834" s="13" t="inlineStr">
        <is>
          <t>Ram ProMaster 2500</t>
        </is>
      </c>
      <c r="E834" s="13" t="inlineStr">
        <is>
          <t>Anthony Jackson</t>
        </is>
      </c>
      <c r="F834" s="13" t="inlineStr">
        <is>
          <t>anthony@silverstateelectricalcontractorsllc.com</t>
        </is>
      </c>
      <c r="G834" s="13" t="inlineStr">
        <is>
          <t>702-555-1194</t>
        </is>
      </c>
      <c r="H834" s="14" t="inlineStr">
        <is>
          <t>DOT71866</t>
        </is>
      </c>
      <c r="I834" s="16" t="n">
        <v>0.243</v>
      </c>
      <c r="J834" s="13" t="inlineStr">
        <is>
          <t>ProMaster Brake Line Rubbing Collision Abrasion Leak</t>
        </is>
      </c>
      <c r="K834" s="14" t="inlineStr">
        <is>
          <t>Warm Prospect</t>
        </is>
      </c>
      <c r="L834" s="17">
        <f>IF(C834&gt;0, 99 + (C834 * 2.5), 0)</f>
        <v/>
      </c>
    </row>
    <row r="835">
      <c r="A835" s="8" t="inlineStr">
        <is>
          <t>Sunset Power Systems Group</t>
        </is>
      </c>
      <c r="B835" s="9" t="inlineStr">
        <is>
          <t>Electrical Services</t>
        </is>
      </c>
      <c r="C835" s="10" t="n">
        <v>131</v>
      </c>
      <c r="D835" s="8" t="inlineStr">
        <is>
          <t>Chevy Express 3500</t>
        </is>
      </c>
      <c r="E835" s="8" t="inlineStr">
        <is>
          <t>Thomas Taylor</t>
        </is>
      </c>
      <c r="F835" s="8" t="inlineStr">
        <is>
          <t>thomas@sunsetpowersystemsgroup.com</t>
        </is>
      </c>
      <c r="G835" s="8" t="inlineStr">
        <is>
          <t>702-555-8679</t>
        </is>
      </c>
      <c r="H835" s="9" t="inlineStr">
        <is>
          <t>DOT70476</t>
        </is>
      </c>
      <c r="I835" s="11" t="n">
        <v>0.146</v>
      </c>
      <c r="J835" s="8" t="inlineStr">
        <is>
          <t>Express Engine Bay Hose Thermal Crack Hazard</t>
        </is>
      </c>
      <c r="K835" s="9" t="inlineStr">
        <is>
          <t>Warm Prospect</t>
        </is>
      </c>
      <c r="L835" s="12">
        <f>IF(C835&gt;0, 99 + (C835 * 2.5), 0)</f>
        <v/>
      </c>
    </row>
    <row r="836">
      <c r="A836" s="13" t="inlineStr">
        <is>
          <t>Summerlin Power Systems LLC</t>
        </is>
      </c>
      <c r="B836" s="14" t="inlineStr">
        <is>
          <t>Electrical Services</t>
        </is>
      </c>
      <c r="C836" s="15" t="n">
        <v>63</v>
      </c>
      <c r="D836" s="13" t="inlineStr">
        <is>
          <t>Ram ProMaster 1500</t>
        </is>
      </c>
      <c r="E836" s="13" t="inlineStr">
        <is>
          <t>Donald Anderson</t>
        </is>
      </c>
      <c r="F836" s="13" t="inlineStr">
        <is>
          <t>donald@summerlinpowersystemsllc.com</t>
        </is>
      </c>
      <c r="G836" s="13" t="inlineStr">
        <is>
          <t>702-555-1493</t>
        </is>
      </c>
      <c r="H836" s="14" t="inlineStr">
        <is>
          <t>DOT59112</t>
        </is>
      </c>
      <c r="I836" s="16" t="n">
        <v>0.083</v>
      </c>
      <c r="J836" s="13" t="inlineStr">
        <is>
          <t>ProMaster Brake Line Rubbing Collision Abrasion Leak</t>
        </is>
      </c>
      <c r="K836" s="14" t="inlineStr">
        <is>
          <t>Warm Prospect</t>
        </is>
      </c>
      <c r="L836" s="17">
        <f>IF(C836&gt;0, 99 + (C836 * 2.5), 0)</f>
        <v/>
      </c>
    </row>
    <row r="837">
      <c r="A837" s="8" t="inlineStr">
        <is>
          <t>Clark County Electric &amp; Solar LLC</t>
        </is>
      </c>
      <c r="B837" s="9" t="inlineStr">
        <is>
          <t>Electrical Services</t>
        </is>
      </c>
      <c r="C837" s="10" t="n">
        <v>96</v>
      </c>
      <c r="D837" s="8" t="inlineStr">
        <is>
          <t>Ram ProMaster 2500</t>
        </is>
      </c>
      <c r="E837" s="8" t="inlineStr">
        <is>
          <t>Thomas Wilson</t>
        </is>
      </c>
      <c r="F837" s="8" t="inlineStr">
        <is>
          <t>thomas@clarkcountyelectricsolarllc.com</t>
        </is>
      </c>
      <c r="G837" s="8" t="inlineStr">
        <is>
          <t>702-555-7974</t>
        </is>
      </c>
      <c r="H837" s="9" t="inlineStr">
        <is>
          <t>DOT99884</t>
        </is>
      </c>
      <c r="I837" s="11" t="n">
        <v>0.273</v>
      </c>
      <c r="J837" s="8" t="inlineStr">
        <is>
          <t>ProMaster Brake Line Rubbing Collision Abrasion Leak</t>
        </is>
      </c>
      <c r="K837" s="9" t="inlineStr">
        <is>
          <t>Audit Run</t>
        </is>
      </c>
      <c r="L837" s="12">
        <f>IF(C837&gt;0, 99 + (C837 * 2.5), 0)</f>
        <v/>
      </c>
    </row>
    <row r="838">
      <c r="A838" s="13" t="inlineStr">
        <is>
          <t>Valley Lighting &amp; Power Inc</t>
        </is>
      </c>
      <c r="B838" s="14" t="inlineStr">
        <is>
          <t>Electrical Services</t>
        </is>
      </c>
      <c r="C838" s="15" t="n">
        <v>45</v>
      </c>
      <c r="D838" s="13" t="inlineStr">
        <is>
          <t>Chevy Express 2500</t>
        </is>
      </c>
      <c r="E838" s="13" t="inlineStr">
        <is>
          <t>David Hernandez</t>
        </is>
      </c>
      <c r="F838" s="13" t="inlineStr">
        <is>
          <t>david@valleylightingpowerinc.com</t>
        </is>
      </c>
      <c r="G838" s="13" t="inlineStr">
        <is>
          <t>702-555-7404</t>
        </is>
      </c>
      <c r="H838" s="14" t="inlineStr">
        <is>
          <t>DOT59980</t>
        </is>
      </c>
      <c r="I838" s="16" t="n">
        <v>0.103</v>
      </c>
      <c r="J838" s="13" t="inlineStr">
        <is>
          <t>Express Engine Bay Hose Thermal Crack Hazard</t>
        </is>
      </c>
      <c r="K838" s="14" t="inlineStr">
        <is>
          <t>Warm Prospect</t>
        </is>
      </c>
      <c r="L838" s="17">
        <f>IF(C838&gt;0, 99 + (C838 * 2.5), 0)</f>
        <v/>
      </c>
    </row>
    <row r="839">
      <c r="A839" s="8" t="inlineStr">
        <is>
          <t>High Rise Comfort Heating Inc</t>
        </is>
      </c>
      <c r="B839" s="9" t="inlineStr">
        <is>
          <t>HVAC/Plumbing</t>
        </is>
      </c>
      <c r="C839" s="10" t="n">
        <v>37</v>
      </c>
      <c r="D839" s="8" t="inlineStr">
        <is>
          <t>GMC Savana 2500</t>
        </is>
      </c>
      <c r="E839" s="8" t="inlineStr">
        <is>
          <t>Daniel Jackson</t>
        </is>
      </c>
      <c r="F839" s="8" t="inlineStr">
        <is>
          <t>daniel@highrisecomfortheatinginc.com</t>
        </is>
      </c>
      <c r="G839" s="8" t="inlineStr">
        <is>
          <t>702-555-8397</t>
        </is>
      </c>
      <c r="H839" s="9" t="inlineStr">
        <is>
          <t>DOT93755</t>
        </is>
      </c>
      <c r="I839" s="11" t="n">
        <v>0.317</v>
      </c>
      <c r="J839" s="8" t="inlineStr">
        <is>
          <t>Savana Desert Fuel Line Seal Degradation Failure</t>
        </is>
      </c>
      <c r="K839" s="9" t="inlineStr">
        <is>
          <t>Warm Prospect</t>
        </is>
      </c>
      <c r="L839" s="12">
        <f>IF(C839&gt;0, 99 + (C839 * 2.5), 0)</f>
        <v/>
      </c>
    </row>
    <row r="840">
      <c r="A840" s="13" t="inlineStr">
        <is>
          <t>Apex Mechanical Services Group</t>
        </is>
      </c>
      <c r="B840" s="14" t="inlineStr">
        <is>
          <t>HVAC/Plumbing</t>
        </is>
      </c>
      <c r="C840" s="15" t="n">
        <v>18</v>
      </c>
      <c r="D840" s="13" t="inlineStr">
        <is>
          <t>Ford Transit 350</t>
        </is>
      </c>
      <c r="E840" s="13" t="inlineStr">
        <is>
          <t>Kenneth Thomas</t>
        </is>
      </c>
      <c r="F840" s="13" t="inlineStr">
        <is>
          <t>kenneth@apexmechanicalservicesgroup.com</t>
        </is>
      </c>
      <c r="G840" s="13" t="inlineStr">
        <is>
          <t>702-555-1439</t>
        </is>
      </c>
      <c r="H840" s="14" t="inlineStr">
        <is>
          <t>DOT34470</t>
        </is>
      </c>
      <c r="I840" s="16" t="n">
        <v>0.102</v>
      </c>
      <c r="J840" s="13" t="inlineStr">
        <is>
          <t>Transit 114°F Electrical Module Overheat Wire Ground Fire Risk</t>
        </is>
      </c>
      <c r="K840" s="14" t="inlineStr">
        <is>
          <t>Warm Prospect</t>
        </is>
      </c>
      <c r="L840" s="17">
        <f>IF(C840&gt;0, 99 + (C840 * 2.5), 0)</f>
        <v/>
      </c>
    </row>
    <row r="841">
      <c r="A841" s="8" t="inlineStr">
        <is>
          <t>Sunset Power Systems LLC</t>
        </is>
      </c>
      <c r="B841" s="9" t="inlineStr">
        <is>
          <t>Electrical Services</t>
        </is>
      </c>
      <c r="C841" s="10" t="n">
        <v>126</v>
      </c>
      <c r="D841" s="8" t="inlineStr">
        <is>
          <t>Chevy Express 2500</t>
        </is>
      </c>
      <c r="E841" s="8" t="inlineStr">
        <is>
          <t>Michael Lopez</t>
        </is>
      </c>
      <c r="F841" s="8" t="inlineStr">
        <is>
          <t>michael@sunsetpowersystemsllc.com</t>
        </is>
      </c>
      <c r="G841" s="8" t="inlineStr">
        <is>
          <t>702-555-9495</t>
        </is>
      </c>
      <c r="H841" s="9" t="inlineStr">
        <is>
          <t>DOT11447</t>
        </is>
      </c>
      <c r="I841" s="11" t="n">
        <v>0.093</v>
      </c>
      <c r="J841" s="8" t="inlineStr">
        <is>
          <t>Express Engine Bay Hose Thermal Crack Hazard</t>
        </is>
      </c>
      <c r="K841" s="9" t="inlineStr">
        <is>
          <t>Warm Prospect</t>
        </is>
      </c>
      <c r="L841" s="12">
        <f>IF(C841&gt;0, 99 + (C841 * 2.5), 0)</f>
        <v/>
      </c>
    </row>
    <row r="842">
      <c r="A842" s="13" t="inlineStr">
        <is>
          <t>Red Rock Electric &amp; Solar Inc</t>
        </is>
      </c>
      <c r="B842" s="14" t="inlineStr">
        <is>
          <t>Electrical Services</t>
        </is>
      </c>
      <c r="C842" s="15" t="n">
        <v>132</v>
      </c>
      <c r="D842" s="13" t="inlineStr">
        <is>
          <t>Ram ProMaster 1500</t>
        </is>
      </c>
      <c r="E842" s="13" t="inlineStr">
        <is>
          <t>James Gonzalez</t>
        </is>
      </c>
      <c r="F842" s="13" t="inlineStr">
        <is>
          <t>james@redrockelectricsolarinc.com</t>
        </is>
      </c>
      <c r="G842" s="13" t="inlineStr">
        <is>
          <t>702-555-4382</t>
        </is>
      </c>
      <c r="H842" s="14" t="inlineStr">
        <is>
          <t>DOT27030</t>
        </is>
      </c>
      <c r="I842" s="16" t="n">
        <v>0.31</v>
      </c>
      <c r="J842" s="13" t="inlineStr">
        <is>
          <t>ProMaster Brake Line Rubbing Collision Abrasion Leak</t>
        </is>
      </c>
      <c r="K842" s="14" t="inlineStr">
        <is>
          <t>Warm Prospect</t>
        </is>
      </c>
      <c r="L842" s="17">
        <f>IF(C842&gt;0, 99 + (C842 * 2.5), 0)</f>
        <v/>
      </c>
    </row>
    <row r="843">
      <c r="A843" s="8" t="inlineStr">
        <is>
          <t>Summerlin Electric Pros Group</t>
        </is>
      </c>
      <c r="B843" s="9" t="inlineStr">
        <is>
          <t>Electrical Services</t>
        </is>
      </c>
      <c r="C843" s="10" t="n">
        <v>50</v>
      </c>
      <c r="D843" s="8" t="inlineStr">
        <is>
          <t>Ram ProMaster 1500</t>
        </is>
      </c>
      <c r="E843" s="8" t="inlineStr">
        <is>
          <t>Kenneth Jackson</t>
        </is>
      </c>
      <c r="F843" s="8" t="inlineStr">
        <is>
          <t>kenneth@summerlinelectricprosgroup.com</t>
        </is>
      </c>
      <c r="G843" s="8" t="inlineStr">
        <is>
          <t>702-555-6084</t>
        </is>
      </c>
      <c r="H843" s="9" t="inlineStr">
        <is>
          <t>DOT87003</t>
        </is>
      </c>
      <c r="I843" s="11" t="n">
        <v>0.103</v>
      </c>
      <c r="J843" s="8" t="inlineStr">
        <is>
          <t>ProMaster Brake Line Rubbing Collision Abrasion Leak</t>
        </is>
      </c>
      <c r="K843" s="9" t="inlineStr">
        <is>
          <t>Warm Prospect</t>
        </is>
      </c>
      <c r="L843" s="12">
        <f>IF(C843&gt;0, 99 + (C843 * 2.5), 0)</f>
        <v/>
      </c>
    </row>
    <row r="844">
      <c r="A844" s="13" t="inlineStr">
        <is>
          <t>Sunset Electric &amp; Solar Inc</t>
        </is>
      </c>
      <c r="B844" s="14" t="inlineStr">
        <is>
          <t>Electrical Services</t>
        </is>
      </c>
      <c r="C844" s="15" t="n">
        <v>26</v>
      </c>
      <c r="D844" s="13" t="inlineStr">
        <is>
          <t>Ram ProMaster 1500</t>
        </is>
      </c>
      <c r="E844" s="13" t="inlineStr">
        <is>
          <t>Anthony Martin</t>
        </is>
      </c>
      <c r="F844" s="13" t="inlineStr">
        <is>
          <t>anthony@sunsetelectricsolarinc.com</t>
        </is>
      </c>
      <c r="G844" s="13" t="inlineStr">
        <is>
          <t>702-555-5044</t>
        </is>
      </c>
      <c r="H844" s="14" t="inlineStr">
        <is>
          <t>DOT78925</t>
        </is>
      </c>
      <c r="I844" s="16" t="n">
        <v>0.142</v>
      </c>
      <c r="J844" s="13" t="inlineStr">
        <is>
          <t>ProMaster Brake Line Rubbing Collision Abrasion Leak</t>
        </is>
      </c>
      <c r="K844" s="14" t="inlineStr">
        <is>
          <t>Audit Run</t>
        </is>
      </c>
      <c r="L844" s="17">
        <f>IF(C844&gt;0, 99 + (C844 * 2.5), 0)</f>
        <v/>
      </c>
    </row>
    <row r="845">
      <c r="A845" s="8" t="inlineStr">
        <is>
          <t>First Choice Wiring Solutions Group</t>
        </is>
      </c>
      <c r="B845" s="9" t="inlineStr">
        <is>
          <t>Electrical Services</t>
        </is>
      </c>
      <c r="C845" s="10" t="n">
        <v>33</v>
      </c>
      <c r="D845" s="8" t="inlineStr">
        <is>
          <t>Chevy Express 2500</t>
        </is>
      </c>
      <c r="E845" s="8" t="inlineStr">
        <is>
          <t>Christopher Anderson</t>
        </is>
      </c>
      <c r="F845" s="8" t="inlineStr">
        <is>
          <t>christopher@firstchoicewiringsolutionsgroup.com</t>
        </is>
      </c>
      <c r="G845" s="8" t="inlineStr">
        <is>
          <t>702-555-6681</t>
        </is>
      </c>
      <c r="H845" s="9" t="inlineStr">
        <is>
          <t>DOT48987</t>
        </is>
      </c>
      <c r="I845" s="11" t="n">
        <v>0.161</v>
      </c>
      <c r="J845" s="8" t="inlineStr">
        <is>
          <t>Express Engine Bay Hose Thermal Crack Hazard</t>
        </is>
      </c>
      <c r="K845" s="9" t="inlineStr">
        <is>
          <t>Warm Prospect</t>
        </is>
      </c>
      <c r="L845" s="12">
        <f>IF(C845&gt;0, 99 + (C845 * 2.5), 0)</f>
        <v/>
      </c>
    </row>
    <row r="846">
      <c r="A846" s="13" t="inlineStr">
        <is>
          <t>Sunset Power Systems Group</t>
        </is>
      </c>
      <c r="B846" s="14" t="inlineStr">
        <is>
          <t>Electrical Services</t>
        </is>
      </c>
      <c r="C846" s="15" t="n">
        <v>127</v>
      </c>
      <c r="D846" s="13" t="inlineStr">
        <is>
          <t>Ram ProMaster 1500</t>
        </is>
      </c>
      <c r="E846" s="13" t="inlineStr">
        <is>
          <t>Anthony Garcia</t>
        </is>
      </c>
      <c r="F846" s="13" t="inlineStr">
        <is>
          <t>anthony@sunsetpowersystemsgroup.com</t>
        </is>
      </c>
      <c r="G846" s="13" t="inlineStr">
        <is>
          <t>702-555-2565</t>
        </is>
      </c>
      <c r="H846" s="14" t="inlineStr">
        <is>
          <t>DOT61583</t>
        </is>
      </c>
      <c r="I846" s="16" t="n">
        <v>0.257</v>
      </c>
      <c r="J846" s="13" t="inlineStr">
        <is>
          <t>ProMaster Brake Line Rubbing Collision Abrasion Leak</t>
        </is>
      </c>
      <c r="K846" s="14" t="inlineStr">
        <is>
          <t>Warm Prospect</t>
        </is>
      </c>
      <c r="L846" s="17">
        <f>IF(C846&gt;0, 99 + (C846 * 2.5), 0)</f>
        <v/>
      </c>
    </row>
    <row r="847">
      <c r="A847" s="8" t="inlineStr">
        <is>
          <t>Spring Valley Plumbing &amp; Drain LLC</t>
        </is>
      </c>
      <c r="B847" s="9" t="inlineStr">
        <is>
          <t>HVAC/Plumbing</t>
        </is>
      </c>
      <c r="C847" s="10" t="n">
        <v>84</v>
      </c>
      <c r="D847" s="8" t="inlineStr">
        <is>
          <t>Chevy Express 2500</t>
        </is>
      </c>
      <c r="E847" s="8" t="inlineStr">
        <is>
          <t>James Miller</t>
        </is>
      </c>
      <c r="F847" s="8" t="inlineStr">
        <is>
          <t>james@springvalleyplumbingdrainllc.com</t>
        </is>
      </c>
      <c r="G847" s="8" t="inlineStr">
        <is>
          <t>702-555-9085</t>
        </is>
      </c>
      <c r="H847" s="9" t="inlineStr">
        <is>
          <t>DOT63907</t>
        </is>
      </c>
      <c r="I847" s="11" t="n">
        <v>0.348</v>
      </c>
      <c r="J847" s="8" t="inlineStr">
        <is>
          <t>Express Engine Bay Hose Thermal Crack Hazard</t>
        </is>
      </c>
      <c r="K847" s="9" t="inlineStr">
        <is>
          <t>Audit Run</t>
        </is>
      </c>
      <c r="L847" s="12">
        <f>IF(C847&gt;0, 99 + (C847 * 2.5), 0)</f>
        <v/>
      </c>
    </row>
    <row r="848">
      <c r="A848" s="13" t="inlineStr">
        <is>
          <t>Valley Air Conditioning Inc</t>
        </is>
      </c>
      <c r="B848" s="14" t="inlineStr">
        <is>
          <t>HVAC/Plumbing</t>
        </is>
      </c>
      <c r="C848" s="15" t="n">
        <v>93</v>
      </c>
      <c r="D848" s="13" t="inlineStr">
        <is>
          <t>Chevy Express 2500</t>
        </is>
      </c>
      <c r="E848" s="13" t="inlineStr">
        <is>
          <t>Mark Anderson</t>
        </is>
      </c>
      <c r="F848" s="13" t="inlineStr">
        <is>
          <t>mark@valleyairconditioninginc.com</t>
        </is>
      </c>
      <c r="G848" s="13" t="inlineStr">
        <is>
          <t>702-555-3700</t>
        </is>
      </c>
      <c r="H848" s="14" t="inlineStr">
        <is>
          <t>DOT43130</t>
        </is>
      </c>
      <c r="I848" s="16" t="n">
        <v>0.104</v>
      </c>
      <c r="J848" s="13" t="inlineStr">
        <is>
          <t>Express Engine Bay Hose Thermal Crack Hazard</t>
        </is>
      </c>
      <c r="K848" s="14" t="inlineStr">
        <is>
          <t>Warm Prospect</t>
        </is>
      </c>
      <c r="L848" s="17">
        <f>IF(C848&gt;0, 99 + (C848 * 2.5), 0)</f>
        <v/>
      </c>
    </row>
    <row r="849">
      <c r="A849" s="8" t="inlineStr">
        <is>
          <t>Silver State Electric &amp; Solar Group</t>
        </is>
      </c>
      <c r="B849" s="9" t="inlineStr">
        <is>
          <t>Electrical Services</t>
        </is>
      </c>
      <c r="C849" s="10" t="n">
        <v>107</v>
      </c>
      <c r="D849" s="8" t="inlineStr">
        <is>
          <t>Ram ProMaster 1500</t>
        </is>
      </c>
      <c r="E849" s="8" t="inlineStr">
        <is>
          <t>Daniel Gonzalez</t>
        </is>
      </c>
      <c r="F849" s="8" t="inlineStr">
        <is>
          <t>daniel@silverstateelectricsolargroup.com</t>
        </is>
      </c>
      <c r="G849" s="8" t="inlineStr">
        <is>
          <t>702-555-4185</t>
        </is>
      </c>
      <c r="H849" s="9" t="inlineStr">
        <is>
          <t>DOT61992</t>
        </is>
      </c>
      <c r="I849" s="11" t="n">
        <v>0.052</v>
      </c>
      <c r="J849" s="8" t="inlineStr">
        <is>
          <t>ProMaster Brake Line Rubbing Collision Abrasion Leak</t>
        </is>
      </c>
      <c r="K849" s="9" t="inlineStr">
        <is>
          <t>Warm Prospect</t>
        </is>
      </c>
      <c r="L849" s="12">
        <f>IF(C849&gt;0, 99 + (C849 * 2.5), 0)</f>
        <v/>
      </c>
    </row>
    <row r="850">
      <c r="A850" s="13" t="inlineStr">
        <is>
          <t>Clark County Plumbing &amp; Drain LLC</t>
        </is>
      </c>
      <c r="B850" s="14" t="inlineStr">
        <is>
          <t>HVAC/Plumbing</t>
        </is>
      </c>
      <c r="C850" s="15" t="n">
        <v>134</v>
      </c>
      <c r="D850" s="13" t="inlineStr">
        <is>
          <t>GMC Savana 2500</t>
        </is>
      </c>
      <c r="E850" s="13" t="inlineStr">
        <is>
          <t>Donald Williams</t>
        </is>
      </c>
      <c r="F850" s="13" t="inlineStr">
        <is>
          <t>donald@clarkcountyplumbingdrainllc.com</t>
        </is>
      </c>
      <c r="G850" s="13" t="inlineStr">
        <is>
          <t>702-555-2352</t>
        </is>
      </c>
      <c r="H850" s="14" t="inlineStr">
        <is>
          <t>DOT81883</t>
        </is>
      </c>
      <c r="I850" s="16" t="n">
        <v>0.244</v>
      </c>
      <c r="J850" s="13" t="inlineStr">
        <is>
          <t>Savana Desert Fuel Line Seal Degradation Failure</t>
        </is>
      </c>
      <c r="K850" s="14" t="inlineStr">
        <is>
          <t>Warm Prospect</t>
        </is>
      </c>
      <c r="L850" s="17">
        <f>IF(C850&gt;0, 99 + (C850 * 2.5), 0)</f>
        <v/>
      </c>
    </row>
    <row r="851">
      <c r="A851" s="8" t="inlineStr">
        <is>
          <t>First Choice HVAC Services Inc</t>
        </is>
      </c>
      <c r="B851" s="9" t="inlineStr">
        <is>
          <t>HVAC/Plumbing</t>
        </is>
      </c>
      <c r="C851" s="10" t="n">
        <v>14</v>
      </c>
      <c r="D851" s="8" t="inlineStr">
        <is>
          <t>Ford Transit 350</t>
        </is>
      </c>
      <c r="E851" s="8" t="inlineStr">
        <is>
          <t>Kenneth Brown</t>
        </is>
      </c>
      <c r="F851" s="8" t="inlineStr">
        <is>
          <t>kenneth@firstchoicehvacservicesinc.com</t>
        </is>
      </c>
      <c r="G851" s="8" t="inlineStr">
        <is>
          <t>702-555-3903</t>
        </is>
      </c>
      <c r="H851" s="9" t="inlineStr">
        <is>
          <t>DOT48554</t>
        </is>
      </c>
      <c r="I851" s="11" t="n">
        <v>0.078</v>
      </c>
      <c r="J851" s="8" t="inlineStr">
        <is>
          <t>Transit 114°F Electrical Module Overheat Wire Ground Fire Risk</t>
        </is>
      </c>
      <c r="K851" s="9" t="inlineStr">
        <is>
          <t>Warm Prospect</t>
        </is>
      </c>
      <c r="L851" s="12">
        <f>IF(C851&gt;0, 99 + (C851 * 2.5), 0)</f>
        <v/>
      </c>
    </row>
    <row r="852">
      <c r="A852" s="13" t="inlineStr">
        <is>
          <t>Apex Mechanical Services Inc</t>
        </is>
      </c>
      <c r="B852" s="14" t="inlineStr">
        <is>
          <t>HVAC/Plumbing</t>
        </is>
      </c>
      <c r="C852" s="15" t="n">
        <v>49</v>
      </c>
      <c r="D852" s="13" t="inlineStr">
        <is>
          <t>Ford Transit 150</t>
        </is>
      </c>
      <c r="E852" s="13" t="inlineStr">
        <is>
          <t>Donald Lopez</t>
        </is>
      </c>
      <c r="F852" s="13" t="inlineStr">
        <is>
          <t>donald@apexmechanicalservicesinc.com</t>
        </is>
      </c>
      <c r="G852" s="13" t="inlineStr">
        <is>
          <t>702-555-3915</t>
        </is>
      </c>
      <c r="H852" s="14" t="inlineStr">
        <is>
          <t>DOT38399</t>
        </is>
      </c>
      <c r="I852" s="16" t="n">
        <v>0.261</v>
      </c>
      <c r="J852" s="13" t="inlineStr">
        <is>
          <t>Transit 114°F Electrical Module Overheat Wire Ground Fire Risk</t>
        </is>
      </c>
      <c r="K852" s="14" t="inlineStr">
        <is>
          <t>Audit Run</t>
        </is>
      </c>
      <c r="L852" s="17">
        <f>IF(C852&gt;0, 99 + (C852 * 2.5), 0)</f>
        <v/>
      </c>
    </row>
    <row r="853">
      <c r="A853" s="8" t="inlineStr">
        <is>
          <t>First Choice Mechanical Services Inc</t>
        </is>
      </c>
      <c r="B853" s="9" t="inlineStr">
        <is>
          <t>HVAC/Plumbing</t>
        </is>
      </c>
      <c r="C853" s="10" t="n">
        <v>36</v>
      </c>
      <c r="D853" s="8" t="inlineStr">
        <is>
          <t>Chevy Express 2500</t>
        </is>
      </c>
      <c r="E853" s="8" t="inlineStr">
        <is>
          <t>Anthony Martinez</t>
        </is>
      </c>
      <c r="F853" s="8" t="inlineStr">
        <is>
          <t>anthony@firstchoicemechanicalservicesinc.com</t>
        </is>
      </c>
      <c r="G853" s="8" t="inlineStr">
        <is>
          <t>702-555-8274</t>
        </is>
      </c>
      <c r="H853" s="9" t="inlineStr">
        <is>
          <t>DOT16870</t>
        </is>
      </c>
      <c r="I853" s="11" t="n">
        <v>0.225</v>
      </c>
      <c r="J853" s="8" t="inlineStr">
        <is>
          <t>Express Engine Bay Hose Thermal Crack Hazard</t>
        </is>
      </c>
      <c r="K853" s="9" t="inlineStr">
        <is>
          <t>Warm Prospect</t>
        </is>
      </c>
      <c r="L853" s="12">
        <f>IF(C853&gt;0, 99 + (C853 * 2.5), 0)</f>
        <v/>
      </c>
    </row>
    <row r="854">
      <c r="A854" s="13" t="inlineStr">
        <is>
          <t>Henderson Power Systems Inc</t>
        </is>
      </c>
      <c r="B854" s="14" t="inlineStr">
        <is>
          <t>Electrical Services</t>
        </is>
      </c>
      <c r="C854" s="15" t="n">
        <v>71</v>
      </c>
      <c r="D854" s="13" t="inlineStr">
        <is>
          <t>Ram ProMaster 2500</t>
        </is>
      </c>
      <c r="E854" s="13" t="inlineStr">
        <is>
          <t>Richard Williams</t>
        </is>
      </c>
      <c r="F854" s="13" t="inlineStr">
        <is>
          <t>richard@hendersonpowersystemsinc.com</t>
        </is>
      </c>
      <c r="G854" s="13" t="inlineStr">
        <is>
          <t>702-555-1262</t>
        </is>
      </c>
      <c r="H854" s="14" t="inlineStr">
        <is>
          <t>DOT65270</t>
        </is>
      </c>
      <c r="I854" s="16" t="n">
        <v>0.049</v>
      </c>
      <c r="J854" s="13" t="inlineStr">
        <is>
          <t>ProMaster Brake Line Rubbing Collision Abrasion Leak</t>
        </is>
      </c>
      <c r="K854" s="14" t="inlineStr">
        <is>
          <t>Warm Prospect</t>
        </is>
      </c>
      <c r="L854" s="17">
        <f>IF(C854&gt;0, 99 + (C854 * 2.5), 0)</f>
        <v/>
      </c>
    </row>
    <row r="855">
      <c r="A855" s="8" t="inlineStr">
        <is>
          <t>Summerlin Power Systems Group</t>
        </is>
      </c>
      <c r="B855" s="9" t="inlineStr">
        <is>
          <t>Electrical Services</t>
        </is>
      </c>
      <c r="C855" s="10" t="n">
        <v>66</v>
      </c>
      <c r="D855" s="8" t="inlineStr">
        <is>
          <t>Chevy Express 2500</t>
        </is>
      </c>
      <c r="E855" s="8" t="inlineStr">
        <is>
          <t>Robert Garcia</t>
        </is>
      </c>
      <c r="F855" s="8" t="inlineStr">
        <is>
          <t>robert@summerlinpowersystemsgroup.com</t>
        </is>
      </c>
      <c r="G855" s="8" t="inlineStr">
        <is>
          <t>702-555-3736</t>
        </is>
      </c>
      <c r="H855" s="9" t="inlineStr">
        <is>
          <t>DOT15768</t>
        </is>
      </c>
      <c r="I855" s="11" t="n">
        <v>0.169</v>
      </c>
      <c r="J855" s="8" t="inlineStr">
        <is>
          <t>Express Engine Bay Hose Thermal Crack Hazard</t>
        </is>
      </c>
      <c r="K855" s="9" t="inlineStr">
        <is>
          <t>Warm Prospect</t>
        </is>
      </c>
      <c r="L855" s="12">
        <f>IF(C855&gt;0, 99 + (C855 * 2.5), 0)</f>
        <v/>
      </c>
    </row>
    <row r="856">
      <c r="A856" s="13" t="inlineStr">
        <is>
          <t>Valley Lighting &amp; Power Group</t>
        </is>
      </c>
      <c r="B856" s="14" t="inlineStr">
        <is>
          <t>Electrical Services</t>
        </is>
      </c>
      <c r="C856" s="15" t="n">
        <v>63</v>
      </c>
      <c r="D856" s="13" t="inlineStr">
        <is>
          <t>Chevy Express 3500</t>
        </is>
      </c>
      <c r="E856" s="13" t="inlineStr">
        <is>
          <t>Andrew Gonzalez</t>
        </is>
      </c>
      <c r="F856" s="13" t="inlineStr">
        <is>
          <t>andrew@valleylightingpowergroup.com</t>
        </is>
      </c>
      <c r="G856" s="13" t="inlineStr">
        <is>
          <t>702-555-8010</t>
        </is>
      </c>
      <c r="H856" s="14" t="inlineStr">
        <is>
          <t>DOT25834</t>
        </is>
      </c>
      <c r="I856" s="16" t="n">
        <v>0.112</v>
      </c>
      <c r="J856" s="13" t="inlineStr">
        <is>
          <t>Express Engine Bay Hose Thermal Crack Hazard</t>
        </is>
      </c>
      <c r="K856" s="14" t="inlineStr">
        <is>
          <t>Warm Prospect</t>
        </is>
      </c>
      <c r="L856" s="17">
        <f>IF(C856&gt;0, 99 + (C856 * 2.5), 0)</f>
        <v/>
      </c>
    </row>
    <row r="857">
      <c r="A857" s="8" t="inlineStr">
        <is>
          <t>Valley Power Systems Inc</t>
        </is>
      </c>
      <c r="B857" s="9" t="inlineStr">
        <is>
          <t>Electrical Services</t>
        </is>
      </c>
      <c r="C857" s="10" t="n">
        <v>90</v>
      </c>
      <c r="D857" s="8" t="inlineStr">
        <is>
          <t>Ram ProMaster 1500</t>
        </is>
      </c>
      <c r="E857" s="8" t="inlineStr">
        <is>
          <t>John Gonzalez</t>
        </is>
      </c>
      <c r="F857" s="8" t="inlineStr">
        <is>
          <t>john@valleypowersystemsinc.com</t>
        </is>
      </c>
      <c r="G857" s="8" t="inlineStr">
        <is>
          <t>702-555-4485</t>
        </is>
      </c>
      <c r="H857" s="9" t="inlineStr">
        <is>
          <t>DOT70132</t>
        </is>
      </c>
      <c r="I857" s="11" t="n">
        <v>0.108</v>
      </c>
      <c r="J857" s="8" t="inlineStr">
        <is>
          <t>ProMaster Brake Line Rubbing Collision Abrasion Leak</t>
        </is>
      </c>
      <c r="K857" s="9" t="inlineStr">
        <is>
          <t>Warm Prospect</t>
        </is>
      </c>
      <c r="L857" s="12">
        <f>IF(C857&gt;0, 99 + (C857 * 2.5), 0)</f>
        <v/>
      </c>
    </row>
    <row r="858">
      <c r="A858" s="13" t="inlineStr">
        <is>
          <t>Las Vegas Chauffeurs Inc</t>
        </is>
      </c>
      <c r="B858" s="14" t="inlineStr">
        <is>
          <t>Boutique Transit</t>
        </is>
      </c>
      <c r="C858" s="15" t="n">
        <v>65</v>
      </c>
      <c r="D858" s="13" t="inlineStr">
        <is>
          <t>Mercedes-Benz Sprinter 2500</t>
        </is>
      </c>
      <c r="E858" s="13" t="inlineStr">
        <is>
          <t>Mark Martinez</t>
        </is>
      </c>
      <c r="F858" s="13" t="inlineStr">
        <is>
          <t>mark@lasvegaschauffeursinc.com</t>
        </is>
      </c>
      <c r="G858" s="13" t="inlineStr">
        <is>
          <t>702-555-9185</t>
        </is>
      </c>
      <c r="H858" s="14" t="inlineStr">
        <is>
          <t>DOT23344</t>
        </is>
      </c>
      <c r="I858" s="16" t="n">
        <v>0.261</v>
      </c>
      <c r="J858" s="13" t="inlineStr">
        <is>
          <t>Sprinter AC Comp Condensation Drain Backup Wiring Short</t>
        </is>
      </c>
      <c r="K858" s="14" t="inlineStr">
        <is>
          <t>Audit Run</t>
        </is>
      </c>
      <c r="L858" s="17">
        <f>IF(C858&gt;0, 99 + (C858 * 2.5), 0)</f>
        <v/>
      </c>
    </row>
    <row r="859">
      <c r="A859" s="8" t="inlineStr">
        <is>
          <t>Mojave Air Conditioning Group</t>
        </is>
      </c>
      <c r="B859" s="9" t="inlineStr">
        <is>
          <t>HVAC/Plumbing</t>
        </is>
      </c>
      <c r="C859" s="10" t="n">
        <v>109</v>
      </c>
      <c r="D859" s="8" t="inlineStr">
        <is>
          <t>Ford Transit 150</t>
        </is>
      </c>
      <c r="E859" s="8" t="inlineStr">
        <is>
          <t>David Hernandez</t>
        </is>
      </c>
      <c r="F859" s="8" t="inlineStr">
        <is>
          <t>david@mojaveairconditioninggroup.com</t>
        </is>
      </c>
      <c r="G859" s="8" t="inlineStr">
        <is>
          <t>702-555-3872</t>
        </is>
      </c>
      <c r="H859" s="9" t="inlineStr">
        <is>
          <t>DOT93277</t>
        </is>
      </c>
      <c r="I859" s="11" t="n">
        <v>0.276</v>
      </c>
      <c r="J859" s="8" t="inlineStr">
        <is>
          <t>Transit 114°F Electrical Module Overheat Wire Ground Fire Risk</t>
        </is>
      </c>
      <c r="K859" s="9" t="inlineStr">
        <is>
          <t>Warm Prospect</t>
        </is>
      </c>
      <c r="L859" s="12">
        <f>IF(C859&gt;0, 99 + (C859 * 2.5), 0)</f>
        <v/>
      </c>
    </row>
    <row r="860">
      <c r="A860" s="13" t="inlineStr">
        <is>
          <t>First Choice Shuttles LLC</t>
        </is>
      </c>
      <c r="B860" s="14" t="inlineStr">
        <is>
          <t>Boutique Transit</t>
        </is>
      </c>
      <c r="C860" s="15" t="n">
        <v>124</v>
      </c>
      <c r="D860" s="13" t="inlineStr">
        <is>
          <t>Mercedes-Benz Sprinter 2500</t>
        </is>
      </c>
      <c r="E860" s="13" t="inlineStr">
        <is>
          <t>Anthony Taylor</t>
        </is>
      </c>
      <c r="F860" s="13" t="inlineStr">
        <is>
          <t>anthony@firstchoiceshuttlesllc.com</t>
        </is>
      </c>
      <c r="G860" s="13" t="inlineStr">
        <is>
          <t>702-555-4808</t>
        </is>
      </c>
      <c r="H860" s="14" t="inlineStr">
        <is>
          <t>DOT75984</t>
        </is>
      </c>
      <c r="I860" s="16" t="n">
        <v>0.222</v>
      </c>
      <c r="J860" s="13" t="inlineStr">
        <is>
          <t>Sprinter AC Comp Condensation Drain Backup Wiring Short</t>
        </is>
      </c>
      <c r="K860" s="14" t="inlineStr">
        <is>
          <t>Warm Prospect</t>
        </is>
      </c>
      <c r="L860" s="17">
        <f>IF(C860&gt;0, 99 + (C860 * 2.5), 0)</f>
        <v/>
      </c>
    </row>
    <row r="861">
      <c r="A861" s="8" t="inlineStr">
        <is>
          <t>Silver State Plumbing Experts Inc</t>
        </is>
      </c>
      <c r="B861" s="9" t="inlineStr">
        <is>
          <t>HVAC/Plumbing</t>
        </is>
      </c>
      <c r="C861" s="10" t="n">
        <v>70</v>
      </c>
      <c r="D861" s="8" t="inlineStr">
        <is>
          <t>Ford Transit 150</t>
        </is>
      </c>
      <c r="E861" s="8" t="inlineStr">
        <is>
          <t>Mark Davis</t>
        </is>
      </c>
      <c r="F861" s="8" t="inlineStr">
        <is>
          <t>mark@silverstateplumbingexpertsinc.com</t>
        </is>
      </c>
      <c r="G861" s="8" t="inlineStr">
        <is>
          <t>702-555-2300</t>
        </is>
      </c>
      <c r="H861" s="9" t="inlineStr">
        <is>
          <t>DOT17854</t>
        </is>
      </c>
      <c r="I861" s="11" t="n">
        <v>0.083</v>
      </c>
      <c r="J861" s="8" t="inlineStr">
        <is>
          <t>Transit 114°F Electrical Module Overheat Wire Ground Fire Risk</t>
        </is>
      </c>
      <c r="K861" s="9" t="inlineStr">
        <is>
          <t>Warm Prospect</t>
        </is>
      </c>
      <c r="L861" s="12">
        <f>IF(C861&gt;0, 99 + (C861 * 2.5), 0)</f>
        <v/>
      </c>
    </row>
    <row r="862">
      <c r="A862" s="13" t="inlineStr">
        <is>
          <t>Sunset Power Systems LLC</t>
        </is>
      </c>
      <c r="B862" s="14" t="inlineStr">
        <is>
          <t>Electrical Services</t>
        </is>
      </c>
      <c r="C862" s="15" t="n">
        <v>19</v>
      </c>
      <c r="D862" s="13" t="inlineStr">
        <is>
          <t>Chevy Express 3500</t>
        </is>
      </c>
      <c r="E862" s="13" t="inlineStr">
        <is>
          <t>Thomas Martin</t>
        </is>
      </c>
      <c r="F862" s="13" t="inlineStr">
        <is>
          <t>thomas@sunsetpowersystemsllc.com</t>
        </is>
      </c>
      <c r="G862" s="13" t="inlineStr">
        <is>
          <t>702-555-8270</t>
        </is>
      </c>
      <c r="H862" s="14" t="inlineStr">
        <is>
          <t>DOT53082</t>
        </is>
      </c>
      <c r="I862" s="16" t="n">
        <v>0.082</v>
      </c>
      <c r="J862" s="13" t="inlineStr">
        <is>
          <t>Express Engine Bay Hose Thermal Crack Hazard</t>
        </is>
      </c>
      <c r="K862" s="14" t="inlineStr">
        <is>
          <t>Warm Prospect</t>
        </is>
      </c>
      <c r="L862" s="17">
        <f>IF(C862&gt;0, 99 + (C862 * 2.5), 0)</f>
        <v/>
      </c>
    </row>
    <row r="863">
      <c r="A863" s="8" t="inlineStr">
        <is>
          <t>Henderson Shuttles Group</t>
        </is>
      </c>
      <c r="B863" s="9" t="inlineStr">
        <is>
          <t>Boutique Transit</t>
        </is>
      </c>
      <c r="C863" s="10" t="n">
        <v>83</v>
      </c>
      <c r="D863" s="8" t="inlineStr">
        <is>
          <t>Mercedes-Benz Sprinter 3500</t>
        </is>
      </c>
      <c r="E863" s="8" t="inlineStr">
        <is>
          <t>John Davis</t>
        </is>
      </c>
      <c r="F863" s="8" t="inlineStr">
        <is>
          <t>john@hendersonshuttlesgroup.com</t>
        </is>
      </c>
      <c r="G863" s="8" t="inlineStr">
        <is>
          <t>702-555-6427</t>
        </is>
      </c>
      <c r="H863" s="9" t="inlineStr">
        <is>
          <t>DOT54922</t>
        </is>
      </c>
      <c r="I863" s="11" t="n">
        <v>0.115</v>
      </c>
      <c r="J863" s="8" t="inlineStr">
        <is>
          <t>Sprinter AC Comp Condensation Drain Backup Wiring Short</t>
        </is>
      </c>
      <c r="K863" s="9" t="inlineStr">
        <is>
          <t>Audit Run</t>
        </is>
      </c>
      <c r="L863" s="12">
        <f>IF(C863&gt;0, 99 + (C863 * 2.5), 0)</f>
        <v/>
      </c>
    </row>
    <row r="864">
      <c r="A864" s="13" t="inlineStr">
        <is>
          <t>Spring Valley Mechanical Services Inc</t>
        </is>
      </c>
      <c r="B864" s="14" t="inlineStr">
        <is>
          <t>HVAC/Plumbing</t>
        </is>
      </c>
      <c r="C864" s="15" t="n">
        <v>107</v>
      </c>
      <c r="D864" s="13" t="inlineStr">
        <is>
          <t>Ford Transit 350</t>
        </is>
      </c>
      <c r="E864" s="13" t="inlineStr">
        <is>
          <t>Paul Hernandez</t>
        </is>
      </c>
      <c r="F864" s="13" t="inlineStr">
        <is>
          <t>paul@springvalleymechanicalservicesinc.com</t>
        </is>
      </c>
      <c r="G864" s="13" t="inlineStr">
        <is>
          <t>702-555-4007</t>
        </is>
      </c>
      <c r="H864" s="14" t="inlineStr">
        <is>
          <t>DOT67981</t>
        </is>
      </c>
      <c r="I864" s="16" t="n">
        <v>0.235</v>
      </c>
      <c r="J864" s="13" t="inlineStr">
        <is>
          <t>Transit 114°F Electrical Module Overheat Wire Ground Fire Risk</t>
        </is>
      </c>
      <c r="K864" s="14" t="inlineStr">
        <is>
          <t>Warm Prospect</t>
        </is>
      </c>
      <c r="L864" s="17">
        <f>IF(C864&gt;0, 99 + (C864 * 2.5), 0)</f>
        <v/>
      </c>
    </row>
    <row r="865">
      <c r="A865" s="8" t="inlineStr">
        <is>
          <t>Apex Power Systems Inc</t>
        </is>
      </c>
      <c r="B865" s="9" t="inlineStr">
        <is>
          <t>Electrical Services</t>
        </is>
      </c>
      <c r="C865" s="10" t="n">
        <v>62</v>
      </c>
      <c r="D865" s="8" t="inlineStr">
        <is>
          <t>Chevy Express 3500</t>
        </is>
      </c>
      <c r="E865" s="8" t="inlineStr">
        <is>
          <t>David Williams</t>
        </is>
      </c>
      <c r="F865" s="8" t="inlineStr">
        <is>
          <t>david@apexpowersystemsinc.com</t>
        </is>
      </c>
      <c r="G865" s="8" t="inlineStr">
        <is>
          <t>702-555-3845</t>
        </is>
      </c>
      <c r="H865" s="9" t="inlineStr">
        <is>
          <t>DOT87677</t>
        </is>
      </c>
      <c r="I865" s="11" t="n">
        <v>0.21</v>
      </c>
      <c r="J865" s="8" t="inlineStr">
        <is>
          <t>Express Engine Bay Hose Thermal Crack Hazard</t>
        </is>
      </c>
      <c r="K865" s="9" t="inlineStr">
        <is>
          <t>Warm Prospect</t>
        </is>
      </c>
      <c r="L865" s="12">
        <f>IF(C865&gt;0, 99 + (C865 * 2.5), 0)</f>
        <v/>
      </c>
    </row>
    <row r="866">
      <c r="A866" s="13" t="inlineStr">
        <is>
          <t>High Rise Air Conditioning LLC</t>
        </is>
      </c>
      <c r="B866" s="14" t="inlineStr">
        <is>
          <t>HVAC/Plumbing</t>
        </is>
      </c>
      <c r="C866" s="15" t="n">
        <v>89</v>
      </c>
      <c r="D866" s="13" t="inlineStr">
        <is>
          <t>GMC Savana 2500</t>
        </is>
      </c>
      <c r="E866" s="13" t="inlineStr">
        <is>
          <t>William Miller</t>
        </is>
      </c>
      <c r="F866" s="13" t="inlineStr">
        <is>
          <t>william@highriseairconditioningllc.com</t>
        </is>
      </c>
      <c r="G866" s="13" t="inlineStr">
        <is>
          <t>702-555-5012</t>
        </is>
      </c>
      <c r="H866" s="14" t="inlineStr">
        <is>
          <t>DOT65576</t>
        </is>
      </c>
      <c r="I866" s="16" t="n">
        <v>0.095</v>
      </c>
      <c r="J866" s="13" t="inlineStr">
        <is>
          <t>Savana Desert Fuel Line Seal Degradation Failure</t>
        </is>
      </c>
      <c r="K866" s="14" t="inlineStr">
        <is>
          <t>Warm Prospect</t>
        </is>
      </c>
      <c r="L866" s="17">
        <f>IF(C866&gt;0, 99 + (C866 * 2.5), 0)</f>
        <v/>
      </c>
    </row>
    <row r="867">
      <c r="A867" s="8" t="inlineStr">
        <is>
          <t>Mojave Lighting &amp; Power LLC</t>
        </is>
      </c>
      <c r="B867" s="9" t="inlineStr">
        <is>
          <t>Electrical Services</t>
        </is>
      </c>
      <c r="C867" s="10" t="n">
        <v>79</v>
      </c>
      <c r="D867" s="8" t="inlineStr">
        <is>
          <t>Chevy Express 3500</t>
        </is>
      </c>
      <c r="E867" s="8" t="inlineStr">
        <is>
          <t>Steven Williams</t>
        </is>
      </c>
      <c r="F867" s="8" t="inlineStr">
        <is>
          <t>steven@mojavelightingpowerllc.com</t>
        </is>
      </c>
      <c r="G867" s="8" t="inlineStr">
        <is>
          <t>702-555-6891</t>
        </is>
      </c>
      <c r="H867" s="9" t="inlineStr">
        <is>
          <t>DOT62198</t>
        </is>
      </c>
      <c r="I867" s="11" t="n">
        <v>0.157</v>
      </c>
      <c r="J867" s="8" t="inlineStr">
        <is>
          <t>Express Engine Bay Hose Thermal Crack Hazard</t>
        </is>
      </c>
      <c r="K867" s="9" t="inlineStr">
        <is>
          <t>Warm Prospect</t>
        </is>
      </c>
      <c r="L867" s="12">
        <f>IF(C867&gt;0, 99 + (C867 * 2.5), 0)</f>
        <v/>
      </c>
    </row>
    <row r="868">
      <c r="A868" s="13" t="inlineStr">
        <is>
          <t>Titan Lighting &amp; Power Group</t>
        </is>
      </c>
      <c r="B868" s="14" t="inlineStr">
        <is>
          <t>Electrical Services</t>
        </is>
      </c>
      <c r="C868" s="15" t="n">
        <v>49</v>
      </c>
      <c r="D868" s="13" t="inlineStr">
        <is>
          <t>Ram ProMaster 1500</t>
        </is>
      </c>
      <c r="E868" s="13" t="inlineStr">
        <is>
          <t>Steven Smith</t>
        </is>
      </c>
      <c r="F868" s="13" t="inlineStr">
        <is>
          <t>steven@titanlightingpowergroup.com</t>
        </is>
      </c>
      <c r="G868" s="13" t="inlineStr">
        <is>
          <t>702-555-7249</t>
        </is>
      </c>
      <c r="H868" s="14" t="inlineStr">
        <is>
          <t>DOT66019</t>
        </is>
      </c>
      <c r="I868" s="16" t="n">
        <v>0.305</v>
      </c>
      <c r="J868" s="13" t="inlineStr">
        <is>
          <t>ProMaster Brake Line Rubbing Collision Abrasion Leak</t>
        </is>
      </c>
      <c r="K868" s="14" t="inlineStr">
        <is>
          <t>Warm Prospect</t>
        </is>
      </c>
      <c r="L868" s="17">
        <f>IF(C868&gt;0, 99 + (C868 * 2.5), 0)</f>
        <v/>
      </c>
    </row>
    <row r="869">
      <c r="A869" s="8" t="inlineStr">
        <is>
          <t>High Rise Airport Express Group</t>
        </is>
      </c>
      <c r="B869" s="9" t="inlineStr">
        <is>
          <t>Boutique Transit</t>
        </is>
      </c>
      <c r="C869" s="10" t="n">
        <v>54</v>
      </c>
      <c r="D869" s="8" t="inlineStr">
        <is>
          <t>Ford Transit 350</t>
        </is>
      </c>
      <c r="E869" s="8" t="inlineStr">
        <is>
          <t>Charles Gonzalez</t>
        </is>
      </c>
      <c r="F869" s="8" t="inlineStr">
        <is>
          <t>charles@highriseairportexpressgroup.com</t>
        </is>
      </c>
      <c r="G869" s="8" t="inlineStr">
        <is>
          <t>702-555-8596</t>
        </is>
      </c>
      <c r="H869" s="9" t="inlineStr">
        <is>
          <t>DOT50088</t>
        </is>
      </c>
      <c r="I869" s="11" t="n">
        <v>0.181</v>
      </c>
      <c r="J869" s="8" t="inlineStr">
        <is>
          <t>Transit 114°F Electrical Module Overheat Wire Ground Fire Risk</t>
        </is>
      </c>
      <c r="K869" s="9" t="inlineStr">
        <is>
          <t>Warm Prospect</t>
        </is>
      </c>
      <c r="L869" s="12">
        <f>IF(C869&gt;0, 99 + (C869 * 2.5), 0)</f>
        <v/>
      </c>
    </row>
    <row r="870">
      <c r="A870" s="13" t="inlineStr">
        <is>
          <t>Las Vegas Tours &amp; Transit Inc</t>
        </is>
      </c>
      <c r="B870" s="14" t="inlineStr">
        <is>
          <t>Boutique Transit</t>
        </is>
      </c>
      <c r="C870" s="15" t="n">
        <v>44</v>
      </c>
      <c r="D870" s="13" t="inlineStr">
        <is>
          <t>Mercedes-Benz Sprinter 3500</t>
        </is>
      </c>
      <c r="E870" s="13" t="inlineStr">
        <is>
          <t>Steven Miller</t>
        </is>
      </c>
      <c r="F870" s="13" t="inlineStr">
        <is>
          <t>steven@lasvegastourstransitinc.com</t>
        </is>
      </c>
      <c r="G870" s="13" t="inlineStr">
        <is>
          <t>702-555-3535</t>
        </is>
      </c>
      <c r="H870" s="14" t="inlineStr">
        <is>
          <t>DOT34854</t>
        </is>
      </c>
      <c r="I870" s="16" t="n">
        <v>0.041</v>
      </c>
      <c r="J870" s="13" t="inlineStr">
        <is>
          <t>Sprinter AC Comp Condensation Drain Backup Wiring Short</t>
        </is>
      </c>
      <c r="K870" s="14" t="inlineStr">
        <is>
          <t>Audit Run</t>
        </is>
      </c>
      <c r="L870" s="17">
        <f>IF(C870&gt;0, 99 + (C870 * 2.5), 0)</f>
        <v/>
      </c>
    </row>
    <row r="871">
      <c r="A871" s="8" t="inlineStr">
        <is>
          <t>Clark County Chauffeurs LLC</t>
        </is>
      </c>
      <c r="B871" s="9" t="inlineStr">
        <is>
          <t>Boutique Transit</t>
        </is>
      </c>
      <c r="C871" s="10" t="n">
        <v>116</v>
      </c>
      <c r="D871" s="8" t="inlineStr">
        <is>
          <t>Mercedes-Benz Sprinter 3500</t>
        </is>
      </c>
      <c r="E871" s="8" t="inlineStr">
        <is>
          <t>Anthony Lopez</t>
        </is>
      </c>
      <c r="F871" s="8" t="inlineStr">
        <is>
          <t>anthony@clarkcountychauffeursllc.com</t>
        </is>
      </c>
      <c r="G871" s="8" t="inlineStr">
        <is>
          <t>702-555-7292</t>
        </is>
      </c>
      <c r="H871" s="9" t="inlineStr">
        <is>
          <t>DOT74166</t>
        </is>
      </c>
      <c r="I871" s="11" t="n">
        <v>0.135</v>
      </c>
      <c r="J871" s="8" t="inlineStr">
        <is>
          <t>Sprinter AC Comp Condensation Drain Backup Wiring Short</t>
        </is>
      </c>
      <c r="K871" s="9" t="inlineStr">
        <is>
          <t>Audit Run</t>
        </is>
      </c>
      <c r="L871" s="12">
        <f>IF(C871&gt;0, 99 + (C871 * 2.5), 0)</f>
        <v/>
      </c>
    </row>
    <row r="872">
      <c r="A872" s="13" t="inlineStr">
        <is>
          <t>Titan Air Conditioning Inc</t>
        </is>
      </c>
      <c r="B872" s="14" t="inlineStr">
        <is>
          <t>HVAC/Plumbing</t>
        </is>
      </c>
      <c r="C872" s="15" t="n">
        <v>51</v>
      </c>
      <c r="D872" s="13" t="inlineStr">
        <is>
          <t>GMC Savana 2500</t>
        </is>
      </c>
      <c r="E872" s="13" t="inlineStr">
        <is>
          <t>Richard Wilson</t>
        </is>
      </c>
      <c r="F872" s="13" t="inlineStr">
        <is>
          <t>richard@titanairconditioninginc.com</t>
        </is>
      </c>
      <c r="G872" s="13" t="inlineStr">
        <is>
          <t>702-555-5182</t>
        </is>
      </c>
      <c r="H872" s="14" t="inlineStr">
        <is>
          <t>DOT55688</t>
        </is>
      </c>
      <c r="I872" s="16" t="n">
        <v>0.198</v>
      </c>
      <c r="J872" s="13" t="inlineStr">
        <is>
          <t>Savana Desert Fuel Line Seal Degradation Failure</t>
        </is>
      </c>
      <c r="K872" s="14" t="inlineStr">
        <is>
          <t>Warm Prospect</t>
        </is>
      </c>
      <c r="L872" s="17">
        <f>IF(C872&gt;0, 99 + (C872 * 2.5), 0)</f>
        <v/>
      </c>
    </row>
    <row r="873">
      <c r="A873" s="8" t="inlineStr">
        <is>
          <t>Clark County Chauffeurs Group</t>
        </is>
      </c>
      <c r="B873" s="9" t="inlineStr">
        <is>
          <t>Boutique Transit</t>
        </is>
      </c>
      <c r="C873" s="10" t="n">
        <v>108</v>
      </c>
      <c r="D873" s="8" t="inlineStr">
        <is>
          <t>Mercedes-Benz Sprinter 2500</t>
        </is>
      </c>
      <c r="E873" s="8" t="inlineStr">
        <is>
          <t>Mark Davis</t>
        </is>
      </c>
      <c r="F873" s="8" t="inlineStr">
        <is>
          <t>mark@clarkcountychauffeursgroup.com</t>
        </is>
      </c>
      <c r="G873" s="8" t="inlineStr">
        <is>
          <t>702-555-4970</t>
        </is>
      </c>
      <c r="H873" s="9" t="inlineStr">
        <is>
          <t>DOT72616</t>
        </is>
      </c>
      <c r="I873" s="11" t="n">
        <v>0.051</v>
      </c>
      <c r="J873" s="8" t="inlineStr">
        <is>
          <t>Sprinter AC Comp Condensation Drain Backup Wiring Short</t>
        </is>
      </c>
      <c r="K873" s="9" t="inlineStr">
        <is>
          <t>Warm Prospect</t>
        </is>
      </c>
      <c r="L873" s="12">
        <f>IF(C873&gt;0, 99 + (C873 * 2.5), 0)</f>
        <v/>
      </c>
    </row>
    <row r="874">
      <c r="A874" s="13" t="inlineStr">
        <is>
          <t>Clark County Charter Buses Inc</t>
        </is>
      </c>
      <c r="B874" s="14" t="inlineStr">
        <is>
          <t>Boutique Transit</t>
        </is>
      </c>
      <c r="C874" s="15" t="n">
        <v>47</v>
      </c>
      <c r="D874" s="13" t="inlineStr">
        <is>
          <t>Ford Transit 350</t>
        </is>
      </c>
      <c r="E874" s="13" t="inlineStr">
        <is>
          <t>Charles Martin</t>
        </is>
      </c>
      <c r="F874" s="13" t="inlineStr">
        <is>
          <t>charles@clarkcountycharterbusesinc.com</t>
        </is>
      </c>
      <c r="G874" s="13" t="inlineStr">
        <is>
          <t>702-555-8462</t>
        </is>
      </c>
      <c r="H874" s="14" t="inlineStr">
        <is>
          <t>DOT99268</t>
        </is>
      </c>
      <c r="I874" s="16" t="n">
        <v>0.08599999999999999</v>
      </c>
      <c r="J874" s="13" t="inlineStr">
        <is>
          <t>Transit 114°F Electrical Module Overheat Wire Ground Fire Risk</t>
        </is>
      </c>
      <c r="K874" s="14" t="inlineStr">
        <is>
          <t>Warm Prospect</t>
        </is>
      </c>
      <c r="L874" s="17">
        <f>IF(C874&gt;0, 99 + (C874 * 2.5), 0)</f>
        <v/>
      </c>
    </row>
    <row r="875">
      <c r="A875" s="8" t="inlineStr">
        <is>
          <t>Las Vegas Charter Buses Inc</t>
        </is>
      </c>
      <c r="B875" s="9" t="inlineStr">
        <is>
          <t>Boutique Transit</t>
        </is>
      </c>
      <c r="C875" s="10" t="n">
        <v>39</v>
      </c>
      <c r="D875" s="8" t="inlineStr">
        <is>
          <t>Mercedes-Benz Sprinter 2500</t>
        </is>
      </c>
      <c r="E875" s="8" t="inlineStr">
        <is>
          <t>James Gonzalez</t>
        </is>
      </c>
      <c r="F875" s="8" t="inlineStr">
        <is>
          <t>james@lasvegascharterbusesinc.com</t>
        </is>
      </c>
      <c r="G875" s="8" t="inlineStr">
        <is>
          <t>702-555-7515</t>
        </is>
      </c>
      <c r="H875" s="9" t="inlineStr">
        <is>
          <t>DOT86829</t>
        </is>
      </c>
      <c r="I875" s="11" t="n">
        <v>0.342</v>
      </c>
      <c r="J875" s="8" t="inlineStr">
        <is>
          <t>Sprinter AC Comp Condensation Drain Backup Wiring Short</t>
        </is>
      </c>
      <c r="K875" s="9" t="inlineStr">
        <is>
          <t>Warm Prospect</t>
        </is>
      </c>
      <c r="L875" s="12">
        <f>IF(C875&gt;0, 99 + (C875 * 2.5), 0)</f>
        <v/>
      </c>
    </row>
    <row r="876">
      <c r="A876" s="13" t="inlineStr">
        <is>
          <t>Spring Valley Airport Express LLC</t>
        </is>
      </c>
      <c r="B876" s="14" t="inlineStr">
        <is>
          <t>Boutique Transit</t>
        </is>
      </c>
      <c r="C876" s="15" t="n">
        <v>119</v>
      </c>
      <c r="D876" s="13" t="inlineStr">
        <is>
          <t>Mercedes-Benz Sprinter 2500</t>
        </is>
      </c>
      <c r="E876" s="13" t="inlineStr">
        <is>
          <t>Charles Martinez</t>
        </is>
      </c>
      <c r="F876" s="13" t="inlineStr">
        <is>
          <t>charles@springvalleyairportexpressllc.com</t>
        </is>
      </c>
      <c r="G876" s="13" t="inlineStr">
        <is>
          <t>702-555-9202</t>
        </is>
      </c>
      <c r="H876" s="14" t="inlineStr">
        <is>
          <t>DOT79887</t>
        </is>
      </c>
      <c r="I876" s="16" t="n">
        <v>0.244</v>
      </c>
      <c r="J876" s="13" t="inlineStr">
        <is>
          <t>Sprinter AC Comp Condensation Drain Backup Wiring Short</t>
        </is>
      </c>
      <c r="K876" s="14" t="inlineStr">
        <is>
          <t>Warm Prospect</t>
        </is>
      </c>
      <c r="L876" s="17">
        <f>IF(C876&gt;0, 99 + (C876 * 2.5), 0)</f>
        <v/>
      </c>
    </row>
    <row r="877">
      <c r="A877" s="8" t="inlineStr">
        <is>
          <t>Mojave Charter Buses LLC</t>
        </is>
      </c>
      <c r="B877" s="9" t="inlineStr">
        <is>
          <t>Boutique Transit</t>
        </is>
      </c>
      <c r="C877" s="10" t="n">
        <v>32</v>
      </c>
      <c r="D877" s="8" t="inlineStr">
        <is>
          <t>Ford Transit 350</t>
        </is>
      </c>
      <c r="E877" s="8" t="inlineStr">
        <is>
          <t>Robert Jackson</t>
        </is>
      </c>
      <c r="F877" s="8" t="inlineStr">
        <is>
          <t>robert@mojavecharterbusesllc.com</t>
        </is>
      </c>
      <c r="G877" s="8" t="inlineStr">
        <is>
          <t>702-555-6642</t>
        </is>
      </c>
      <c r="H877" s="9" t="inlineStr">
        <is>
          <t>DOT28705</t>
        </is>
      </c>
      <c r="I877" s="11" t="n">
        <v>0.123</v>
      </c>
      <c r="J877" s="8" t="inlineStr">
        <is>
          <t>Transit 114°F Electrical Module Overheat Wire Ground Fire Risk</t>
        </is>
      </c>
      <c r="K877" s="9" t="inlineStr">
        <is>
          <t>Warm Prospect</t>
        </is>
      </c>
      <c r="L877" s="12">
        <f>IF(C877&gt;0, 99 + (C877 * 2.5), 0)</f>
        <v/>
      </c>
    </row>
    <row r="878">
      <c r="A878" s="13" t="inlineStr">
        <is>
          <t>Titan Charter Buses LLC</t>
        </is>
      </c>
      <c r="B878" s="14" t="inlineStr">
        <is>
          <t>Boutique Transit</t>
        </is>
      </c>
      <c r="C878" s="15" t="n">
        <v>53</v>
      </c>
      <c r="D878" s="13" t="inlineStr">
        <is>
          <t>Mercedes-Benz Sprinter 2500</t>
        </is>
      </c>
      <c r="E878" s="13" t="inlineStr">
        <is>
          <t>Steven Smith</t>
        </is>
      </c>
      <c r="F878" s="13" t="inlineStr">
        <is>
          <t>steven@titancharterbusesllc.com</t>
        </is>
      </c>
      <c r="G878" s="13" t="inlineStr">
        <is>
          <t>702-555-2587</t>
        </is>
      </c>
      <c r="H878" s="14" t="inlineStr">
        <is>
          <t>DOT19154</t>
        </is>
      </c>
      <c r="I878" s="16" t="n">
        <v>0.28</v>
      </c>
      <c r="J878" s="13" t="inlineStr">
        <is>
          <t>Sprinter AC Comp Condensation Drain Backup Wiring Short</t>
        </is>
      </c>
      <c r="K878" s="14" t="inlineStr">
        <is>
          <t>Warm Prospect</t>
        </is>
      </c>
      <c r="L878" s="17">
        <f>IF(C878&gt;0, 99 + (C878 * 2.5), 0)</f>
        <v/>
      </c>
    </row>
    <row r="879">
      <c r="A879" s="8" t="inlineStr">
        <is>
          <t>Titan Charter Buses LLC</t>
        </is>
      </c>
      <c r="B879" s="9" t="inlineStr">
        <is>
          <t>Boutique Transit</t>
        </is>
      </c>
      <c r="C879" s="10" t="n">
        <v>120</v>
      </c>
      <c r="D879" s="8" t="inlineStr">
        <is>
          <t>Ford Transit 350</t>
        </is>
      </c>
      <c r="E879" s="8" t="inlineStr">
        <is>
          <t>William Garcia</t>
        </is>
      </c>
      <c r="F879" s="8" t="inlineStr">
        <is>
          <t>william@titancharterbusesllc.com</t>
        </is>
      </c>
      <c r="G879" s="8" t="inlineStr">
        <is>
          <t>702-555-7138</t>
        </is>
      </c>
      <c r="H879" s="9" t="inlineStr">
        <is>
          <t>DOT34431</t>
        </is>
      </c>
      <c r="I879" s="11" t="n">
        <v>0.258</v>
      </c>
      <c r="J879" s="8" t="inlineStr">
        <is>
          <t>Transit 114°F Electrical Module Overheat Wire Ground Fire Risk</t>
        </is>
      </c>
      <c r="K879" s="9" t="inlineStr">
        <is>
          <t>Warm Prospect</t>
        </is>
      </c>
      <c r="L879" s="12">
        <f>IF(C879&gt;0, 99 + (C879 * 2.5), 0)</f>
        <v/>
      </c>
    </row>
    <row r="880">
      <c r="A880" s="13" t="inlineStr">
        <is>
          <t>Red Rock Lighting &amp; Power Inc</t>
        </is>
      </c>
      <c r="B880" s="14" t="inlineStr">
        <is>
          <t>Electrical Services</t>
        </is>
      </c>
      <c r="C880" s="15" t="n">
        <v>64</v>
      </c>
      <c r="D880" s="13" t="inlineStr">
        <is>
          <t>Ram ProMaster 1500</t>
        </is>
      </c>
      <c r="E880" s="13" t="inlineStr">
        <is>
          <t>William Miller</t>
        </is>
      </c>
      <c r="F880" s="13" t="inlineStr">
        <is>
          <t>william@redrocklightingpowerinc.com</t>
        </is>
      </c>
      <c r="G880" s="13" t="inlineStr">
        <is>
          <t>702-555-1966</t>
        </is>
      </c>
      <c r="H880" s="14" t="inlineStr">
        <is>
          <t>DOT33950</t>
        </is>
      </c>
      <c r="I880" s="16" t="n">
        <v>0.291</v>
      </c>
      <c r="J880" s="13" t="inlineStr">
        <is>
          <t>ProMaster Brake Line Rubbing Collision Abrasion Leak</t>
        </is>
      </c>
      <c r="K880" s="14" t="inlineStr">
        <is>
          <t>Warm Prospect</t>
        </is>
      </c>
      <c r="L880" s="17">
        <f>IF(C880&gt;0, 99 + (C880 * 2.5), 0)</f>
        <v/>
      </c>
    </row>
    <row r="881">
      <c r="A881" s="8" t="inlineStr">
        <is>
          <t>Spring Valley Wiring Solutions LLC</t>
        </is>
      </c>
      <c r="B881" s="9" t="inlineStr">
        <is>
          <t>Electrical Services</t>
        </is>
      </c>
      <c r="C881" s="10" t="n">
        <v>52</v>
      </c>
      <c r="D881" s="8" t="inlineStr">
        <is>
          <t>Chevy Express 2500</t>
        </is>
      </c>
      <c r="E881" s="8" t="inlineStr">
        <is>
          <t>James Martinez</t>
        </is>
      </c>
      <c r="F881" s="8" t="inlineStr">
        <is>
          <t>james@springvalleywiringsolutionsllc.com</t>
        </is>
      </c>
      <c r="G881" s="8" t="inlineStr">
        <is>
          <t>702-555-2404</t>
        </is>
      </c>
      <c r="H881" s="9" t="inlineStr">
        <is>
          <t>DOT59509</t>
        </is>
      </c>
      <c r="I881" s="11" t="n">
        <v>0.079</v>
      </c>
      <c r="J881" s="8" t="inlineStr">
        <is>
          <t>Express Engine Bay Hose Thermal Crack Hazard</t>
        </is>
      </c>
      <c r="K881" s="9" t="inlineStr">
        <is>
          <t>Warm Prospect</t>
        </is>
      </c>
      <c r="L881" s="12">
        <f>IF(C881&gt;0, 99 + (C881 * 2.5), 0)</f>
        <v/>
      </c>
    </row>
    <row r="882">
      <c r="A882" s="13" t="inlineStr">
        <is>
          <t>Silver State Lighting &amp; Power Inc</t>
        </is>
      </c>
      <c r="B882" s="14" t="inlineStr">
        <is>
          <t>Electrical Services</t>
        </is>
      </c>
      <c r="C882" s="15" t="n">
        <v>134</v>
      </c>
      <c r="D882" s="13" t="inlineStr">
        <is>
          <t>Ram ProMaster 1500</t>
        </is>
      </c>
      <c r="E882" s="13" t="inlineStr">
        <is>
          <t>Robert Smith</t>
        </is>
      </c>
      <c r="F882" s="13" t="inlineStr">
        <is>
          <t>robert@silverstatelightingpowerinc.com</t>
        </is>
      </c>
      <c r="G882" s="13" t="inlineStr">
        <is>
          <t>702-555-2000</t>
        </is>
      </c>
      <c r="H882" s="14" t="inlineStr">
        <is>
          <t>DOT44875</t>
        </is>
      </c>
      <c r="I882" s="16" t="n">
        <v>0.273</v>
      </c>
      <c r="J882" s="13" t="inlineStr">
        <is>
          <t>ProMaster Brake Line Rubbing Collision Abrasion Leak</t>
        </is>
      </c>
      <c r="K882" s="14" t="inlineStr">
        <is>
          <t>Warm Prospect</t>
        </is>
      </c>
      <c r="L882" s="17">
        <f>IF(C882&gt;0, 99 + (C882 * 2.5), 0)</f>
        <v/>
      </c>
    </row>
    <row r="883">
      <c r="A883" s="8" t="inlineStr">
        <is>
          <t>Las Vegas Shuttles Inc</t>
        </is>
      </c>
      <c r="B883" s="9" t="inlineStr">
        <is>
          <t>Boutique Transit</t>
        </is>
      </c>
      <c r="C883" s="10" t="n">
        <v>143</v>
      </c>
      <c r="D883" s="8" t="inlineStr">
        <is>
          <t>Mercedes-Benz Sprinter 2500</t>
        </is>
      </c>
      <c r="E883" s="8" t="inlineStr">
        <is>
          <t>John Gonzalez</t>
        </is>
      </c>
      <c r="F883" s="8" t="inlineStr">
        <is>
          <t>john@lasvegasshuttlesinc.com</t>
        </is>
      </c>
      <c r="G883" s="8" t="inlineStr">
        <is>
          <t>702-555-9520</t>
        </is>
      </c>
      <c r="H883" s="9" t="inlineStr">
        <is>
          <t>DOT44843</t>
        </is>
      </c>
      <c r="I883" s="11" t="n">
        <v>0.329</v>
      </c>
      <c r="J883" s="8" t="inlineStr">
        <is>
          <t>Sprinter AC Comp Condensation Drain Backup Wiring Short</t>
        </is>
      </c>
      <c r="K883" s="9" t="inlineStr">
        <is>
          <t>Warm Prospect</t>
        </is>
      </c>
      <c r="L883" s="12">
        <f>IF(C883&gt;0, 99 + (C883 * 2.5), 0)</f>
        <v/>
      </c>
    </row>
    <row r="884">
      <c r="A884" s="13" t="inlineStr">
        <is>
          <t>Las Vegas Wiring Solutions LLC</t>
        </is>
      </c>
      <c r="B884" s="14" t="inlineStr">
        <is>
          <t>Electrical Services</t>
        </is>
      </c>
      <c r="C884" s="15" t="n">
        <v>97</v>
      </c>
      <c r="D884" s="13" t="inlineStr">
        <is>
          <t>Ram ProMaster 2500</t>
        </is>
      </c>
      <c r="E884" s="13" t="inlineStr">
        <is>
          <t>Daniel Davis</t>
        </is>
      </c>
      <c r="F884" s="13" t="inlineStr">
        <is>
          <t>daniel@lasvegaswiringsolutionsllc.com</t>
        </is>
      </c>
      <c r="G884" s="13" t="inlineStr">
        <is>
          <t>702-555-6918</t>
        </is>
      </c>
      <c r="H884" s="14" t="inlineStr">
        <is>
          <t>DOT97173</t>
        </is>
      </c>
      <c r="I884" s="16" t="n">
        <v>0.164</v>
      </c>
      <c r="J884" s="13" t="inlineStr">
        <is>
          <t>ProMaster Brake Line Rubbing Collision Abrasion Leak</t>
        </is>
      </c>
      <c r="K884" s="14" t="inlineStr">
        <is>
          <t>Audit Run</t>
        </is>
      </c>
      <c r="L884" s="17">
        <f>IF(C884&gt;0, 99 + (C884 * 2.5), 0)</f>
        <v/>
      </c>
    </row>
    <row r="885">
      <c r="A885" s="8" t="inlineStr">
        <is>
          <t>Valley HVAC Services Inc</t>
        </is>
      </c>
      <c r="B885" s="9" t="inlineStr">
        <is>
          <t>HVAC/Plumbing</t>
        </is>
      </c>
      <c r="C885" s="10" t="n">
        <v>126</v>
      </c>
      <c r="D885" s="8" t="inlineStr">
        <is>
          <t>Ford Transit 250</t>
        </is>
      </c>
      <c r="E885" s="8" t="inlineStr">
        <is>
          <t>Anthony Jones</t>
        </is>
      </c>
      <c r="F885" s="8" t="inlineStr">
        <is>
          <t>anthony@valleyhvacservicesinc.com</t>
        </is>
      </c>
      <c r="G885" s="8" t="inlineStr">
        <is>
          <t>702-555-1420</t>
        </is>
      </c>
      <c r="H885" s="9" t="inlineStr">
        <is>
          <t>DOT88893</t>
        </is>
      </c>
      <c r="I885" s="11" t="n">
        <v>0.078</v>
      </c>
      <c r="J885" s="8" t="inlineStr">
        <is>
          <t>Transit 114°F Electrical Module Overheat Wire Ground Fire Risk</t>
        </is>
      </c>
      <c r="K885" s="9" t="inlineStr">
        <is>
          <t>Audit Run</t>
        </is>
      </c>
      <c r="L885" s="12">
        <f>IF(C885&gt;0, 99 + (C885 * 2.5), 0)</f>
        <v/>
      </c>
    </row>
    <row r="886">
      <c r="A886" s="13" t="inlineStr">
        <is>
          <t>Clark County Power Systems LLC</t>
        </is>
      </c>
      <c r="B886" s="14" t="inlineStr">
        <is>
          <t>Electrical Services</t>
        </is>
      </c>
      <c r="C886" s="15" t="n">
        <v>131</v>
      </c>
      <c r="D886" s="13" t="inlineStr">
        <is>
          <t>Ram ProMaster 1500</t>
        </is>
      </c>
      <c r="E886" s="13" t="inlineStr">
        <is>
          <t>Paul Wilson</t>
        </is>
      </c>
      <c r="F886" s="13" t="inlineStr">
        <is>
          <t>paul@clarkcountypowersystemsllc.com</t>
        </is>
      </c>
      <c r="G886" s="13" t="inlineStr">
        <is>
          <t>702-555-4079</t>
        </is>
      </c>
      <c r="H886" s="14" t="inlineStr">
        <is>
          <t>DOT10410</t>
        </is>
      </c>
      <c r="I886" s="16" t="n">
        <v>0.346</v>
      </c>
      <c r="J886" s="13" t="inlineStr">
        <is>
          <t>ProMaster Brake Line Rubbing Collision Abrasion Leak</t>
        </is>
      </c>
      <c r="K886" s="14" t="inlineStr">
        <is>
          <t>Warm Prospect</t>
        </is>
      </c>
      <c r="L886" s="17">
        <f>IF(C886&gt;0, 99 + (C886 * 2.5), 0)</f>
        <v/>
      </c>
    </row>
    <row r="887">
      <c r="A887" s="8" t="inlineStr">
        <is>
          <t>Vegas Valley HVAC Services Inc</t>
        </is>
      </c>
      <c r="B887" s="9" t="inlineStr">
        <is>
          <t>HVAC/Plumbing</t>
        </is>
      </c>
      <c r="C887" s="10" t="n">
        <v>123</v>
      </c>
      <c r="D887" s="8" t="inlineStr">
        <is>
          <t>Ford Transit 150</t>
        </is>
      </c>
      <c r="E887" s="8" t="inlineStr">
        <is>
          <t>Thomas Martin</t>
        </is>
      </c>
      <c r="F887" s="8" t="inlineStr">
        <is>
          <t>thomas@vegasvalleyhvacservicesinc.com</t>
        </is>
      </c>
      <c r="G887" s="8" t="inlineStr">
        <is>
          <t>702-555-8938</t>
        </is>
      </c>
      <c r="H887" s="9" t="inlineStr">
        <is>
          <t>DOT62450</t>
        </is>
      </c>
      <c r="I887" s="11" t="n">
        <v>0.269</v>
      </c>
      <c r="J887" s="8" t="inlineStr">
        <is>
          <t>Transit 114°F Electrical Module Overheat Wire Ground Fire Risk</t>
        </is>
      </c>
      <c r="K887" s="9" t="inlineStr">
        <is>
          <t>Warm Prospect</t>
        </is>
      </c>
      <c r="L887" s="12">
        <f>IF(C887&gt;0, 99 + (C887 * 2.5), 0)</f>
        <v/>
      </c>
    </row>
    <row r="888">
      <c r="A888" s="13" t="inlineStr">
        <is>
          <t>Titan Wiring Solutions Group</t>
        </is>
      </c>
      <c r="B888" s="14" t="inlineStr">
        <is>
          <t>Electrical Services</t>
        </is>
      </c>
      <c r="C888" s="15" t="n">
        <v>108</v>
      </c>
      <c r="D888" s="13" t="inlineStr">
        <is>
          <t>Chevy Express 2500</t>
        </is>
      </c>
      <c r="E888" s="13" t="inlineStr">
        <is>
          <t>Christopher Martin</t>
        </is>
      </c>
      <c r="F888" s="13" t="inlineStr">
        <is>
          <t>christopher@titanwiringsolutionsgroup.com</t>
        </is>
      </c>
      <c r="G888" s="13" t="inlineStr">
        <is>
          <t>702-555-4196</t>
        </is>
      </c>
      <c r="H888" s="14" t="inlineStr">
        <is>
          <t>DOT28764</t>
        </is>
      </c>
      <c r="I888" s="16" t="n">
        <v>0.31</v>
      </c>
      <c r="J888" s="13" t="inlineStr">
        <is>
          <t>Express Engine Bay Hose Thermal Crack Hazard</t>
        </is>
      </c>
      <c r="K888" s="14" t="inlineStr">
        <is>
          <t>Audit Run</t>
        </is>
      </c>
      <c r="L888" s="17">
        <f>IF(C888&gt;0, 99 + (C888 * 2.5), 0)</f>
        <v/>
      </c>
    </row>
    <row r="889">
      <c r="A889" s="8" t="inlineStr">
        <is>
          <t>High Rise Shuttles Inc</t>
        </is>
      </c>
      <c r="B889" s="9" t="inlineStr">
        <is>
          <t>Boutique Transit</t>
        </is>
      </c>
      <c r="C889" s="10" t="n">
        <v>32</v>
      </c>
      <c r="D889" s="8" t="inlineStr">
        <is>
          <t>Mercedes-Benz Sprinter 3500</t>
        </is>
      </c>
      <c r="E889" s="8" t="inlineStr">
        <is>
          <t>Christopher Moore</t>
        </is>
      </c>
      <c r="F889" s="8" t="inlineStr">
        <is>
          <t>christopher@highriseshuttlesinc.com</t>
        </is>
      </c>
      <c r="G889" s="8" t="inlineStr">
        <is>
          <t>702-555-8648</t>
        </is>
      </c>
      <c r="H889" s="9" t="inlineStr">
        <is>
          <t>DOT32027</t>
        </is>
      </c>
      <c r="I889" s="11" t="n">
        <v>0.318</v>
      </c>
      <c r="J889" s="8" t="inlineStr">
        <is>
          <t>Sprinter AC Comp Condensation Drain Backup Wiring Short</t>
        </is>
      </c>
      <c r="K889" s="9" t="inlineStr">
        <is>
          <t>Warm Prospect</t>
        </is>
      </c>
      <c r="L889" s="12">
        <f>IF(C889&gt;0, 99 + (C889 * 2.5), 0)</f>
        <v/>
      </c>
    </row>
    <row r="890">
      <c r="A890" s="13" t="inlineStr">
        <is>
          <t>Vegas Valley Lighting &amp; Power Inc</t>
        </is>
      </c>
      <c r="B890" s="14" t="inlineStr">
        <is>
          <t>Electrical Services</t>
        </is>
      </c>
      <c r="C890" s="15" t="n">
        <v>64</v>
      </c>
      <c r="D890" s="13" t="inlineStr">
        <is>
          <t>Chevy Express 3500</t>
        </is>
      </c>
      <c r="E890" s="13" t="inlineStr">
        <is>
          <t>William Williams</t>
        </is>
      </c>
      <c r="F890" s="13" t="inlineStr">
        <is>
          <t>william@vegasvalleylightingpowerinc.com</t>
        </is>
      </c>
      <c r="G890" s="13" t="inlineStr">
        <is>
          <t>702-555-2728</t>
        </is>
      </c>
      <c r="H890" s="14" t="inlineStr">
        <is>
          <t>DOT67002</t>
        </is>
      </c>
      <c r="I890" s="16" t="n">
        <v>0.348</v>
      </c>
      <c r="J890" s="13" t="inlineStr">
        <is>
          <t>Express Engine Bay Hose Thermal Crack Hazard</t>
        </is>
      </c>
      <c r="K890" s="14" t="inlineStr">
        <is>
          <t>Warm Prospect</t>
        </is>
      </c>
      <c r="L890" s="17">
        <f>IF(C890&gt;0, 99 + (C890 * 2.5), 0)</f>
        <v/>
      </c>
    </row>
    <row r="891">
      <c r="A891" s="8" t="inlineStr">
        <is>
          <t>Spring Valley HVAC Services LLC</t>
        </is>
      </c>
      <c r="B891" s="9" t="inlineStr">
        <is>
          <t>HVAC/Plumbing</t>
        </is>
      </c>
      <c r="C891" s="10" t="n">
        <v>66</v>
      </c>
      <c r="D891" s="8" t="inlineStr">
        <is>
          <t>Ford Transit 150</t>
        </is>
      </c>
      <c r="E891" s="8" t="inlineStr">
        <is>
          <t>Charles Thomas</t>
        </is>
      </c>
      <c r="F891" s="8" t="inlineStr">
        <is>
          <t>charles@springvalleyhvacservicesllc.com</t>
        </is>
      </c>
      <c r="G891" s="8" t="inlineStr">
        <is>
          <t>702-555-3016</t>
        </is>
      </c>
      <c r="H891" s="9" t="inlineStr">
        <is>
          <t>DOT97225</t>
        </is>
      </c>
      <c r="I891" s="11" t="n">
        <v>0.082</v>
      </c>
      <c r="J891" s="8" t="inlineStr">
        <is>
          <t>Transit 114°F Electrical Module Overheat Wire Ground Fire Risk</t>
        </is>
      </c>
      <c r="K891" s="9" t="inlineStr">
        <is>
          <t>Audit Run</t>
        </is>
      </c>
      <c r="L891" s="12">
        <f>IF(C891&gt;0, 99 + (C891 * 2.5), 0)</f>
        <v/>
      </c>
    </row>
    <row r="892">
      <c r="A892" s="13" t="inlineStr">
        <is>
          <t>Clark County Tours &amp; Transit Inc</t>
        </is>
      </c>
      <c r="B892" s="14" t="inlineStr">
        <is>
          <t>Boutique Transit</t>
        </is>
      </c>
      <c r="C892" s="15" t="n">
        <v>95</v>
      </c>
      <c r="D892" s="13" t="inlineStr">
        <is>
          <t>Ford Transit 350</t>
        </is>
      </c>
      <c r="E892" s="13" t="inlineStr">
        <is>
          <t>Thomas Jackson</t>
        </is>
      </c>
      <c r="F892" s="13" t="inlineStr">
        <is>
          <t>thomas@clarkcountytourstransitinc.com</t>
        </is>
      </c>
      <c r="G892" s="13" t="inlineStr">
        <is>
          <t>702-555-2059</t>
        </is>
      </c>
      <c r="H892" s="14" t="inlineStr">
        <is>
          <t>DOT94408</t>
        </is>
      </c>
      <c r="I892" s="16" t="n">
        <v>0.146</v>
      </c>
      <c r="J892" s="13" t="inlineStr">
        <is>
          <t>Transit 114°F Electrical Module Overheat Wire Ground Fire Risk</t>
        </is>
      </c>
      <c r="K892" s="14" t="inlineStr">
        <is>
          <t>Warm Prospect</t>
        </is>
      </c>
      <c r="L892" s="17">
        <f>IF(C892&gt;0, 99 + (C892 * 2.5), 0)</f>
        <v/>
      </c>
    </row>
    <row r="893">
      <c r="A893" s="8" t="inlineStr">
        <is>
          <t>Vegas Valley Logistics LLC</t>
        </is>
      </c>
      <c r="B893" s="9" t="inlineStr">
        <is>
          <t>Boutique Transit</t>
        </is>
      </c>
      <c r="C893" s="10" t="n">
        <v>67</v>
      </c>
      <c r="D893" s="8" t="inlineStr">
        <is>
          <t>Mercedes-Benz Sprinter 2500</t>
        </is>
      </c>
      <c r="E893" s="8" t="inlineStr">
        <is>
          <t>Charles Brown</t>
        </is>
      </c>
      <c r="F893" s="8" t="inlineStr">
        <is>
          <t>charles@vegasvalleylogisticsllc.com</t>
        </is>
      </c>
      <c r="G893" s="8" t="inlineStr">
        <is>
          <t>702-555-5767</t>
        </is>
      </c>
      <c r="H893" s="9" t="inlineStr">
        <is>
          <t>DOT21492</t>
        </is>
      </c>
      <c r="I893" s="11" t="n">
        <v>0.075</v>
      </c>
      <c r="J893" s="8" t="inlineStr">
        <is>
          <t>Sprinter AC Comp Condensation Drain Backup Wiring Short</t>
        </is>
      </c>
      <c r="K893" s="9" t="inlineStr">
        <is>
          <t>Warm Prospect</t>
        </is>
      </c>
      <c r="L893" s="12">
        <f>IF(C893&gt;0, 99 + (C893 * 2.5), 0)</f>
        <v/>
      </c>
    </row>
    <row r="894">
      <c r="A894" s="13" t="inlineStr">
        <is>
          <t>Las Vegas Airport Express Group</t>
        </is>
      </c>
      <c r="B894" s="14" t="inlineStr">
        <is>
          <t>Boutique Transit</t>
        </is>
      </c>
      <c r="C894" s="15" t="n">
        <v>104</v>
      </c>
      <c r="D894" s="13" t="inlineStr">
        <is>
          <t>Mercedes-Benz Sprinter 2500</t>
        </is>
      </c>
      <c r="E894" s="13" t="inlineStr">
        <is>
          <t>David Hernandez</t>
        </is>
      </c>
      <c r="F894" s="13" t="inlineStr">
        <is>
          <t>david@lasvegasairportexpressgroup.com</t>
        </is>
      </c>
      <c r="G894" s="13" t="inlineStr">
        <is>
          <t>702-555-7229</t>
        </is>
      </c>
      <c r="H894" s="14" t="inlineStr">
        <is>
          <t>DOT85617</t>
        </is>
      </c>
      <c r="I894" s="16" t="n">
        <v>0.268</v>
      </c>
      <c r="J894" s="13" t="inlineStr">
        <is>
          <t>Sprinter AC Comp Condensation Drain Backup Wiring Short</t>
        </is>
      </c>
      <c r="K894" s="14" t="inlineStr">
        <is>
          <t>Warm Prospect</t>
        </is>
      </c>
      <c r="L894" s="17">
        <f>IF(C894&gt;0, 99 + (C894 * 2.5), 0)</f>
        <v/>
      </c>
    </row>
    <row r="895">
      <c r="A895" s="8" t="inlineStr">
        <is>
          <t>Las Vegas Plumbing Experts Inc</t>
        </is>
      </c>
      <c r="B895" s="9" t="inlineStr">
        <is>
          <t>HVAC/Plumbing</t>
        </is>
      </c>
      <c r="C895" s="10" t="n">
        <v>118</v>
      </c>
      <c r="D895" s="8" t="inlineStr">
        <is>
          <t>GMC Savana 2500</t>
        </is>
      </c>
      <c r="E895" s="8" t="inlineStr">
        <is>
          <t>Daniel Lopez</t>
        </is>
      </c>
      <c r="F895" s="8" t="inlineStr">
        <is>
          <t>daniel@lasvegasplumbingexpertsinc.com</t>
        </is>
      </c>
      <c r="G895" s="8" t="inlineStr">
        <is>
          <t>702-555-3069</t>
        </is>
      </c>
      <c r="H895" s="9" t="inlineStr">
        <is>
          <t>DOT78124</t>
        </is>
      </c>
      <c r="I895" s="11" t="n">
        <v>0.246</v>
      </c>
      <c r="J895" s="8" t="inlineStr">
        <is>
          <t>Savana Desert Fuel Line Seal Degradation Failure</t>
        </is>
      </c>
      <c r="K895" s="9" t="inlineStr">
        <is>
          <t>Audit Run</t>
        </is>
      </c>
      <c r="L895" s="12">
        <f>IF(C895&gt;0, 99 + (C895 * 2.5), 0)</f>
        <v/>
      </c>
    </row>
    <row r="896">
      <c r="A896" s="13" t="inlineStr">
        <is>
          <t>Apex Comfort Heating Inc</t>
        </is>
      </c>
      <c r="B896" s="14" t="inlineStr">
        <is>
          <t>HVAC/Plumbing</t>
        </is>
      </c>
      <c r="C896" s="15" t="n">
        <v>127</v>
      </c>
      <c r="D896" s="13" t="inlineStr">
        <is>
          <t>Chevy Express 2500</t>
        </is>
      </c>
      <c r="E896" s="13" t="inlineStr">
        <is>
          <t>Daniel Jones</t>
        </is>
      </c>
      <c r="F896" s="13" t="inlineStr">
        <is>
          <t>daniel@apexcomfortheatinginc.com</t>
        </is>
      </c>
      <c r="G896" s="13" t="inlineStr">
        <is>
          <t>702-555-5863</t>
        </is>
      </c>
      <c r="H896" s="14" t="inlineStr">
        <is>
          <t>DOT38692</t>
        </is>
      </c>
      <c r="I896" s="16" t="n">
        <v>0.195</v>
      </c>
      <c r="J896" s="13" t="inlineStr">
        <is>
          <t>Express Engine Bay Hose Thermal Crack Hazard</t>
        </is>
      </c>
      <c r="K896" s="14" t="inlineStr">
        <is>
          <t>Warm Prospect</t>
        </is>
      </c>
      <c r="L896" s="17">
        <f>IF(C896&gt;0, 99 + (C896 * 2.5), 0)</f>
        <v/>
      </c>
    </row>
    <row r="897">
      <c r="A897" s="8" t="inlineStr">
        <is>
          <t>Las Vegas HVAC Services Inc</t>
        </is>
      </c>
      <c r="B897" s="9" t="inlineStr">
        <is>
          <t>HVAC/Plumbing</t>
        </is>
      </c>
      <c r="C897" s="10" t="n">
        <v>91</v>
      </c>
      <c r="D897" s="8" t="inlineStr">
        <is>
          <t>Ford Transit 250</t>
        </is>
      </c>
      <c r="E897" s="8" t="inlineStr">
        <is>
          <t>Christopher Taylor</t>
        </is>
      </c>
      <c r="F897" s="8" t="inlineStr">
        <is>
          <t>christopher@lasvegashvacservicesinc.com</t>
        </is>
      </c>
      <c r="G897" s="8" t="inlineStr">
        <is>
          <t>702-555-3022</t>
        </is>
      </c>
      <c r="H897" s="9" t="inlineStr">
        <is>
          <t>DOT45841</t>
        </is>
      </c>
      <c r="I897" s="11" t="n">
        <v>0.349</v>
      </c>
      <c r="J897" s="8" t="inlineStr">
        <is>
          <t>Transit 114°F Electrical Module Overheat Wire Ground Fire Risk</t>
        </is>
      </c>
      <c r="K897" s="9" t="inlineStr">
        <is>
          <t>Audit Run</t>
        </is>
      </c>
      <c r="L897" s="12">
        <f>IF(C897&gt;0, 99 + (C897 * 2.5), 0)</f>
        <v/>
      </c>
    </row>
    <row r="898">
      <c r="A898" s="13" t="inlineStr">
        <is>
          <t>Vegas Valley Power Systems LLC</t>
        </is>
      </c>
      <c r="B898" s="14" t="inlineStr">
        <is>
          <t>Electrical Services</t>
        </is>
      </c>
      <c r="C898" s="15" t="n">
        <v>106</v>
      </c>
      <c r="D898" s="13" t="inlineStr">
        <is>
          <t>Ram ProMaster 2500</t>
        </is>
      </c>
      <c r="E898" s="13" t="inlineStr">
        <is>
          <t>Michael Hernandez</t>
        </is>
      </c>
      <c r="F898" s="13" t="inlineStr">
        <is>
          <t>michael@vegasvalleypowersystemsllc.com</t>
        </is>
      </c>
      <c r="G898" s="13" t="inlineStr">
        <is>
          <t>702-555-3501</t>
        </is>
      </c>
      <c r="H898" s="14" t="inlineStr">
        <is>
          <t>DOT37605</t>
        </is>
      </c>
      <c r="I898" s="16" t="n">
        <v>0.303</v>
      </c>
      <c r="J898" s="13" t="inlineStr">
        <is>
          <t>ProMaster Brake Line Rubbing Collision Abrasion Leak</t>
        </is>
      </c>
      <c r="K898" s="14" t="inlineStr">
        <is>
          <t>Warm Prospect</t>
        </is>
      </c>
      <c r="L898" s="17">
        <f>IF(C898&gt;0, 99 + (C898 * 2.5), 0)</f>
        <v/>
      </c>
    </row>
    <row r="899">
      <c r="A899" s="8" t="inlineStr">
        <is>
          <t>Clark County Shuttles Inc</t>
        </is>
      </c>
      <c r="B899" s="9" t="inlineStr">
        <is>
          <t>Boutique Transit</t>
        </is>
      </c>
      <c r="C899" s="10" t="n">
        <v>110</v>
      </c>
      <c r="D899" s="8" t="inlineStr">
        <is>
          <t>Mercedes-Benz Sprinter 3500</t>
        </is>
      </c>
      <c r="E899" s="8" t="inlineStr">
        <is>
          <t>Christopher Garcia</t>
        </is>
      </c>
      <c r="F899" s="8" t="inlineStr">
        <is>
          <t>christopher@clarkcountyshuttlesinc.com</t>
        </is>
      </c>
      <c r="G899" s="8" t="inlineStr">
        <is>
          <t>702-555-1353</t>
        </is>
      </c>
      <c r="H899" s="9" t="inlineStr">
        <is>
          <t>DOT81819</t>
        </is>
      </c>
      <c r="I899" s="11" t="n">
        <v>0.162</v>
      </c>
      <c r="J899" s="8" t="inlineStr">
        <is>
          <t>Sprinter AC Comp Condensation Drain Backup Wiring Short</t>
        </is>
      </c>
      <c r="K899" s="9" t="inlineStr">
        <is>
          <t>Warm Prospect</t>
        </is>
      </c>
      <c r="L899" s="12">
        <f>IF(C899&gt;0, 99 + (C899 * 2.5), 0)</f>
        <v/>
      </c>
    </row>
    <row r="900">
      <c r="A900" s="13" t="inlineStr">
        <is>
          <t>First Choice Chauffeurs LLC</t>
        </is>
      </c>
      <c r="B900" s="14" t="inlineStr">
        <is>
          <t>Boutique Transit</t>
        </is>
      </c>
      <c r="C900" s="15" t="n">
        <v>28</v>
      </c>
      <c r="D900" s="13" t="inlineStr">
        <is>
          <t>Mercedes-Benz Sprinter 3500</t>
        </is>
      </c>
      <c r="E900" s="13" t="inlineStr">
        <is>
          <t>Paul Martinez</t>
        </is>
      </c>
      <c r="F900" s="13" t="inlineStr">
        <is>
          <t>paul@firstchoicechauffeursllc.com</t>
        </is>
      </c>
      <c r="G900" s="13" t="inlineStr">
        <is>
          <t>702-555-5626</t>
        </is>
      </c>
      <c r="H900" s="14" t="inlineStr">
        <is>
          <t>DOT35571</t>
        </is>
      </c>
      <c r="I900" s="16" t="n">
        <v>0.257</v>
      </c>
      <c r="J900" s="13" t="inlineStr">
        <is>
          <t>Sprinter AC Comp Condensation Drain Backup Wiring Short</t>
        </is>
      </c>
      <c r="K900" s="14" t="inlineStr">
        <is>
          <t>Audit Run</t>
        </is>
      </c>
      <c r="L900" s="17">
        <f>IF(C900&gt;0, 99 + (C900 * 2.5), 0)</f>
        <v/>
      </c>
    </row>
    <row r="901">
      <c r="A901" s="8" t="inlineStr">
        <is>
          <t>Apex Power Systems LLC</t>
        </is>
      </c>
      <c r="B901" s="9" t="inlineStr">
        <is>
          <t>Electrical Services</t>
        </is>
      </c>
      <c r="C901" s="10" t="n">
        <v>87</v>
      </c>
      <c r="D901" s="8" t="inlineStr">
        <is>
          <t>Chevy Express 2500</t>
        </is>
      </c>
      <c r="E901" s="8" t="inlineStr">
        <is>
          <t>Donald Garcia</t>
        </is>
      </c>
      <c r="F901" s="8" t="inlineStr">
        <is>
          <t>donald@apexpowersystemsllc.com</t>
        </is>
      </c>
      <c r="G901" s="8" t="inlineStr">
        <is>
          <t>702-555-3253</t>
        </is>
      </c>
      <c r="H901" s="9" t="inlineStr">
        <is>
          <t>DOT67918</t>
        </is>
      </c>
      <c r="I901" s="11" t="n">
        <v>0.256</v>
      </c>
      <c r="J901" s="8" t="inlineStr">
        <is>
          <t>Express Engine Bay Hose Thermal Crack Hazard</t>
        </is>
      </c>
      <c r="K901" s="9" t="inlineStr">
        <is>
          <t>Warm Prospect</t>
        </is>
      </c>
      <c r="L901" s="12">
        <f>IF(C901&gt;0, 99 + (C901 * 2.5), 0)</f>
        <v/>
      </c>
    </row>
    <row r="902">
      <c r="A902" s="13" t="inlineStr">
        <is>
          <t>Sunset Plumbing &amp; Drain Group</t>
        </is>
      </c>
      <c r="B902" s="14" t="inlineStr">
        <is>
          <t>HVAC/Plumbing</t>
        </is>
      </c>
      <c r="C902" s="15" t="n">
        <v>12</v>
      </c>
      <c r="D902" s="13" t="inlineStr">
        <is>
          <t>Ford Transit 350</t>
        </is>
      </c>
      <c r="E902" s="13" t="inlineStr">
        <is>
          <t>Matthew Jackson</t>
        </is>
      </c>
      <c r="F902" s="13" t="inlineStr">
        <is>
          <t>matthew@sunsetplumbingdraingroup.com</t>
        </is>
      </c>
      <c r="G902" s="13" t="inlineStr">
        <is>
          <t>702-555-2670</t>
        </is>
      </c>
      <c r="H902" s="14" t="inlineStr">
        <is>
          <t>DOT98908</t>
        </is>
      </c>
      <c r="I902" s="16" t="n">
        <v>0.284</v>
      </c>
      <c r="J902" s="13" t="inlineStr">
        <is>
          <t>Transit 114°F Electrical Module Overheat Wire Ground Fire Risk</t>
        </is>
      </c>
      <c r="K902" s="14" t="inlineStr">
        <is>
          <t>Warm Prospect</t>
        </is>
      </c>
      <c r="L902" s="17">
        <f>IF(C902&gt;0, 99 + (C902 * 2.5), 0)</f>
        <v/>
      </c>
    </row>
    <row r="903">
      <c r="A903" s="8" t="inlineStr">
        <is>
          <t>Titan Electric Pros Inc</t>
        </is>
      </c>
      <c r="B903" s="9" t="inlineStr">
        <is>
          <t>Electrical Services</t>
        </is>
      </c>
      <c r="C903" s="10" t="n">
        <v>34</v>
      </c>
      <c r="D903" s="8" t="inlineStr">
        <is>
          <t>Chevy Express 2500</t>
        </is>
      </c>
      <c r="E903" s="8" t="inlineStr">
        <is>
          <t>Matthew Thomas</t>
        </is>
      </c>
      <c r="F903" s="8" t="inlineStr">
        <is>
          <t>matthew@titanelectricprosinc.com</t>
        </is>
      </c>
      <c r="G903" s="8" t="inlineStr">
        <is>
          <t>702-555-3943</t>
        </is>
      </c>
      <c r="H903" s="9" t="inlineStr">
        <is>
          <t>DOT16877</t>
        </is>
      </c>
      <c r="I903" s="11" t="n">
        <v>0.076</v>
      </c>
      <c r="J903" s="8" t="inlineStr">
        <is>
          <t>Express Engine Bay Hose Thermal Crack Hazard</t>
        </is>
      </c>
      <c r="K903" s="9" t="inlineStr">
        <is>
          <t>Audit Run</t>
        </is>
      </c>
      <c r="L903" s="12">
        <f>IF(C903&gt;0, 99 + (C903 * 2.5), 0)</f>
        <v/>
      </c>
    </row>
    <row r="904">
      <c r="A904" s="13" t="inlineStr">
        <is>
          <t>Valley Logistics LLC</t>
        </is>
      </c>
      <c r="B904" s="14" t="inlineStr">
        <is>
          <t>Boutique Transit</t>
        </is>
      </c>
      <c r="C904" s="15" t="n">
        <v>113</v>
      </c>
      <c r="D904" s="13" t="inlineStr">
        <is>
          <t>Mercedes-Benz Sprinter 2500</t>
        </is>
      </c>
      <c r="E904" s="13" t="inlineStr">
        <is>
          <t>Thomas Johnson</t>
        </is>
      </c>
      <c r="F904" s="13" t="inlineStr">
        <is>
          <t>thomas@valleylogisticsllc.com</t>
        </is>
      </c>
      <c r="G904" s="13" t="inlineStr">
        <is>
          <t>702-555-2946</t>
        </is>
      </c>
      <c r="H904" s="14" t="inlineStr">
        <is>
          <t>DOT41569</t>
        </is>
      </c>
      <c r="I904" s="16" t="n">
        <v>0.163</v>
      </c>
      <c r="J904" s="13" t="inlineStr">
        <is>
          <t>Sprinter AC Comp Condensation Drain Backup Wiring Short</t>
        </is>
      </c>
      <c r="K904" s="14" t="inlineStr">
        <is>
          <t>Warm Prospect</t>
        </is>
      </c>
      <c r="L904" s="17">
        <f>IF(C904&gt;0, 99 + (C904 * 2.5), 0)</f>
        <v/>
      </c>
    </row>
    <row r="905">
      <c r="A905" s="8" t="inlineStr">
        <is>
          <t>Las Vegas Airport Express Group</t>
        </is>
      </c>
      <c r="B905" s="9" t="inlineStr">
        <is>
          <t>Boutique Transit</t>
        </is>
      </c>
      <c r="C905" s="10" t="n">
        <v>106</v>
      </c>
      <c r="D905" s="8" t="inlineStr">
        <is>
          <t>Ford Transit 350</t>
        </is>
      </c>
      <c r="E905" s="8" t="inlineStr">
        <is>
          <t>James Anderson</t>
        </is>
      </c>
      <c r="F905" s="8" t="inlineStr">
        <is>
          <t>james@lasvegasairportexpressgroup.com</t>
        </is>
      </c>
      <c r="G905" s="8" t="inlineStr">
        <is>
          <t>702-555-7260</t>
        </is>
      </c>
      <c r="H905" s="9" t="inlineStr">
        <is>
          <t>DOT46073</t>
        </is>
      </c>
      <c r="I905" s="11" t="n">
        <v>0.236</v>
      </c>
      <c r="J905" s="8" t="inlineStr">
        <is>
          <t>Transit 114°F Electrical Module Overheat Wire Ground Fire Risk</t>
        </is>
      </c>
      <c r="K905" s="9" t="inlineStr">
        <is>
          <t>Warm Prospect</t>
        </is>
      </c>
      <c r="L905" s="12">
        <f>IF(C905&gt;0, 99 + (C905 * 2.5), 0)</f>
        <v/>
      </c>
    </row>
    <row r="906">
      <c r="A906" s="13" t="inlineStr">
        <is>
          <t>Silver State Electric &amp; Solar Inc</t>
        </is>
      </c>
      <c r="B906" s="14" t="inlineStr">
        <is>
          <t>Electrical Services</t>
        </is>
      </c>
      <c r="C906" s="15" t="n">
        <v>41</v>
      </c>
      <c r="D906" s="13" t="inlineStr">
        <is>
          <t>Chevy Express 2500</t>
        </is>
      </c>
      <c r="E906" s="13" t="inlineStr">
        <is>
          <t>Steven Taylor</t>
        </is>
      </c>
      <c r="F906" s="13" t="inlineStr">
        <is>
          <t>steven@silverstateelectricsolarinc.com</t>
        </is>
      </c>
      <c r="G906" s="13" t="inlineStr">
        <is>
          <t>702-555-4685</t>
        </is>
      </c>
      <c r="H906" s="14" t="inlineStr">
        <is>
          <t>DOT13018</t>
        </is>
      </c>
      <c r="I906" s="16" t="n">
        <v>0.222</v>
      </c>
      <c r="J906" s="13" t="inlineStr">
        <is>
          <t>Express Engine Bay Hose Thermal Crack Hazard</t>
        </is>
      </c>
      <c r="K906" s="14" t="inlineStr">
        <is>
          <t>Audit Run</t>
        </is>
      </c>
      <c r="L906" s="17">
        <f>IF(C906&gt;0, 99 + (C906 * 2.5), 0)</f>
        <v/>
      </c>
    </row>
    <row r="907">
      <c r="A907" s="8" t="inlineStr">
        <is>
          <t>Mojave Electric Pros Group</t>
        </is>
      </c>
      <c r="B907" s="9" t="inlineStr">
        <is>
          <t>Electrical Services</t>
        </is>
      </c>
      <c r="C907" s="10" t="n">
        <v>56</v>
      </c>
      <c r="D907" s="8" t="inlineStr">
        <is>
          <t>Chevy Express 2500</t>
        </is>
      </c>
      <c r="E907" s="8" t="inlineStr">
        <is>
          <t>Anthony Thomas</t>
        </is>
      </c>
      <c r="F907" s="8" t="inlineStr">
        <is>
          <t>anthony@mojaveelectricprosgroup.com</t>
        </is>
      </c>
      <c r="G907" s="8" t="inlineStr">
        <is>
          <t>702-555-8105</t>
        </is>
      </c>
      <c r="H907" s="9" t="inlineStr">
        <is>
          <t>DOT49107</t>
        </is>
      </c>
      <c r="I907" s="11" t="n">
        <v>0.217</v>
      </c>
      <c r="J907" s="8" t="inlineStr">
        <is>
          <t>Express Engine Bay Hose Thermal Crack Hazard</t>
        </is>
      </c>
      <c r="K907" s="9" t="inlineStr">
        <is>
          <t>Warm Prospect</t>
        </is>
      </c>
      <c r="L907" s="12">
        <f>IF(C907&gt;0, 99 + (C907 * 2.5), 0)</f>
        <v/>
      </c>
    </row>
    <row r="908">
      <c r="A908" s="13" t="inlineStr">
        <is>
          <t>Apex Electric Pros Group</t>
        </is>
      </c>
      <c r="B908" s="14" t="inlineStr">
        <is>
          <t>Electrical Services</t>
        </is>
      </c>
      <c r="C908" s="15" t="n">
        <v>113</v>
      </c>
      <c r="D908" s="13" t="inlineStr">
        <is>
          <t>Chevy Express 3500</t>
        </is>
      </c>
      <c r="E908" s="13" t="inlineStr">
        <is>
          <t>John Gonzalez</t>
        </is>
      </c>
      <c r="F908" s="13" t="inlineStr">
        <is>
          <t>john@apexelectricprosgroup.com</t>
        </is>
      </c>
      <c r="G908" s="13" t="inlineStr">
        <is>
          <t>702-555-9788</t>
        </is>
      </c>
      <c r="H908" s="14" t="inlineStr">
        <is>
          <t>DOT79479</t>
        </is>
      </c>
      <c r="I908" s="16" t="n">
        <v>0.191</v>
      </c>
      <c r="J908" s="13" t="inlineStr">
        <is>
          <t>Express Engine Bay Hose Thermal Crack Hazard</t>
        </is>
      </c>
      <c r="K908" s="14" t="inlineStr">
        <is>
          <t>Audit Run</t>
        </is>
      </c>
      <c r="L908" s="17">
        <f>IF(C908&gt;0, 99 + (C908 * 2.5), 0)</f>
        <v/>
      </c>
    </row>
    <row r="909">
      <c r="A909" s="8" t="inlineStr">
        <is>
          <t>High Rise Charter Buses Group</t>
        </is>
      </c>
      <c r="B909" s="9" t="inlineStr">
        <is>
          <t>Boutique Transit</t>
        </is>
      </c>
      <c r="C909" s="10" t="n">
        <v>63</v>
      </c>
      <c r="D909" s="8" t="inlineStr">
        <is>
          <t>Mercedes-Benz Sprinter 2500</t>
        </is>
      </c>
      <c r="E909" s="8" t="inlineStr">
        <is>
          <t>Robert Garcia</t>
        </is>
      </c>
      <c r="F909" s="8" t="inlineStr">
        <is>
          <t>robert@highrisecharterbusesgroup.com</t>
        </is>
      </c>
      <c r="G909" s="8" t="inlineStr">
        <is>
          <t>702-555-3948</t>
        </is>
      </c>
      <c r="H909" s="9" t="inlineStr">
        <is>
          <t>DOT10697</t>
        </is>
      </c>
      <c r="I909" s="11" t="n">
        <v>0.212</v>
      </c>
      <c r="J909" s="8" t="inlineStr">
        <is>
          <t>Sprinter AC Comp Condensation Drain Backup Wiring Short</t>
        </is>
      </c>
      <c r="K909" s="9" t="inlineStr">
        <is>
          <t>Warm Prospect</t>
        </is>
      </c>
      <c r="L909" s="12">
        <f>IF(C909&gt;0, 99 + (C909 * 2.5), 0)</f>
        <v/>
      </c>
    </row>
    <row r="910">
      <c r="A910" s="13" t="inlineStr">
        <is>
          <t>Silver State Plumbing &amp; Drain Group</t>
        </is>
      </c>
      <c r="B910" s="14" t="inlineStr">
        <is>
          <t>HVAC/Plumbing</t>
        </is>
      </c>
      <c r="C910" s="15" t="n">
        <v>51</v>
      </c>
      <c r="D910" s="13" t="inlineStr">
        <is>
          <t>Ford Transit 350</t>
        </is>
      </c>
      <c r="E910" s="13" t="inlineStr">
        <is>
          <t>James Moore</t>
        </is>
      </c>
      <c r="F910" s="13" t="inlineStr">
        <is>
          <t>james@silverstateplumbingdraingroup.com</t>
        </is>
      </c>
      <c r="G910" s="13" t="inlineStr">
        <is>
          <t>702-555-5206</t>
        </is>
      </c>
      <c r="H910" s="14" t="inlineStr">
        <is>
          <t>DOT14588</t>
        </is>
      </c>
      <c r="I910" s="16" t="n">
        <v>0.066</v>
      </c>
      <c r="J910" s="13" t="inlineStr">
        <is>
          <t>Transit 114°F Electrical Module Overheat Wire Ground Fire Risk</t>
        </is>
      </c>
      <c r="K910" s="14" t="inlineStr">
        <is>
          <t>Warm Prospect</t>
        </is>
      </c>
      <c r="L910" s="17">
        <f>IF(C910&gt;0, 99 + (C910 * 2.5), 0)</f>
        <v/>
      </c>
    </row>
    <row r="911">
      <c r="A911" s="8" t="inlineStr">
        <is>
          <t>Mojave Chauffeurs Group</t>
        </is>
      </c>
      <c r="B911" s="9" t="inlineStr">
        <is>
          <t>Boutique Transit</t>
        </is>
      </c>
      <c r="C911" s="10" t="n">
        <v>118</v>
      </c>
      <c r="D911" s="8" t="inlineStr">
        <is>
          <t>Mercedes-Benz Sprinter 2500</t>
        </is>
      </c>
      <c r="E911" s="8" t="inlineStr">
        <is>
          <t>John Davis</t>
        </is>
      </c>
      <c r="F911" s="8" t="inlineStr">
        <is>
          <t>john@mojavechauffeursgroup.com</t>
        </is>
      </c>
      <c r="G911" s="8" t="inlineStr">
        <is>
          <t>702-555-5925</t>
        </is>
      </c>
      <c r="H911" s="9" t="inlineStr">
        <is>
          <t>DOT16051</t>
        </is>
      </c>
      <c r="I911" s="11" t="n">
        <v>0.333</v>
      </c>
      <c r="J911" s="8" t="inlineStr">
        <is>
          <t>Sprinter AC Comp Condensation Drain Backup Wiring Short</t>
        </is>
      </c>
      <c r="K911" s="9" t="inlineStr">
        <is>
          <t>Audit Run</t>
        </is>
      </c>
      <c r="L911" s="12">
        <f>IF(C911&gt;0, 99 + (C911 * 2.5), 0)</f>
        <v/>
      </c>
    </row>
    <row r="912">
      <c r="A912" s="13" t="inlineStr">
        <is>
          <t>Vegas Valley Lighting &amp; Power LLC</t>
        </is>
      </c>
      <c r="B912" s="14" t="inlineStr">
        <is>
          <t>Electrical Services</t>
        </is>
      </c>
      <c r="C912" s="15" t="n">
        <v>135</v>
      </c>
      <c r="D912" s="13" t="inlineStr">
        <is>
          <t>Chevy Express 3500</t>
        </is>
      </c>
      <c r="E912" s="13" t="inlineStr">
        <is>
          <t>Daniel Taylor</t>
        </is>
      </c>
      <c r="F912" s="13" t="inlineStr">
        <is>
          <t>daniel@vegasvalleylightingpowerllc.com</t>
        </is>
      </c>
      <c r="G912" s="13" t="inlineStr">
        <is>
          <t>702-555-6769</t>
        </is>
      </c>
      <c r="H912" s="14" t="inlineStr">
        <is>
          <t>DOT89452</t>
        </is>
      </c>
      <c r="I912" s="16" t="n">
        <v>0.207</v>
      </c>
      <c r="J912" s="13" t="inlineStr">
        <is>
          <t>Express Engine Bay Hose Thermal Crack Hazard</t>
        </is>
      </c>
      <c r="K912" s="14" t="inlineStr">
        <is>
          <t>Warm Prospect</t>
        </is>
      </c>
      <c r="L912" s="17">
        <f>IF(C912&gt;0, 99 + (C912 * 2.5), 0)</f>
        <v/>
      </c>
    </row>
    <row r="913">
      <c r="A913" s="8" t="inlineStr">
        <is>
          <t>Apex Charter Buses Inc</t>
        </is>
      </c>
      <c r="B913" s="9" t="inlineStr">
        <is>
          <t>Boutique Transit</t>
        </is>
      </c>
      <c r="C913" s="10" t="n">
        <v>19</v>
      </c>
      <c r="D913" s="8" t="inlineStr">
        <is>
          <t>Mercedes-Benz Sprinter 2500</t>
        </is>
      </c>
      <c r="E913" s="8" t="inlineStr">
        <is>
          <t>Richard Jones</t>
        </is>
      </c>
      <c r="F913" s="8" t="inlineStr">
        <is>
          <t>richard@apexcharterbusesinc.com</t>
        </is>
      </c>
      <c r="G913" s="8" t="inlineStr">
        <is>
          <t>702-555-5910</t>
        </is>
      </c>
      <c r="H913" s="9" t="inlineStr">
        <is>
          <t>DOT38208</t>
        </is>
      </c>
      <c r="I913" s="11" t="n">
        <v>0.337</v>
      </c>
      <c r="J913" s="8" t="inlineStr">
        <is>
          <t>Sprinter AC Comp Condensation Drain Backup Wiring Short</t>
        </is>
      </c>
      <c r="K913" s="9" t="inlineStr">
        <is>
          <t>Audit Run</t>
        </is>
      </c>
      <c r="L913" s="12">
        <f>IF(C913&gt;0, 99 + (C913 * 2.5), 0)</f>
        <v/>
      </c>
    </row>
    <row r="914">
      <c r="A914" s="13" t="inlineStr">
        <is>
          <t>Sunset Logistics LLC</t>
        </is>
      </c>
      <c r="B914" s="14" t="inlineStr">
        <is>
          <t>Boutique Transit</t>
        </is>
      </c>
      <c r="C914" s="15" t="n">
        <v>42</v>
      </c>
      <c r="D914" s="13" t="inlineStr">
        <is>
          <t>Mercedes-Benz Sprinter 3500</t>
        </is>
      </c>
      <c r="E914" s="13" t="inlineStr">
        <is>
          <t>Kenneth Wilson</t>
        </is>
      </c>
      <c r="F914" s="13" t="inlineStr">
        <is>
          <t>kenneth@sunsetlogisticsllc.com</t>
        </is>
      </c>
      <c r="G914" s="13" t="inlineStr">
        <is>
          <t>702-555-2218</t>
        </is>
      </c>
      <c r="H914" s="14" t="inlineStr">
        <is>
          <t>DOT82069</t>
        </is>
      </c>
      <c r="I914" s="16" t="n">
        <v>0.119</v>
      </c>
      <c r="J914" s="13" t="inlineStr">
        <is>
          <t>Sprinter AC Comp Condensation Drain Backup Wiring Short</t>
        </is>
      </c>
      <c r="K914" s="14" t="inlineStr">
        <is>
          <t>Warm Prospect</t>
        </is>
      </c>
      <c r="L914" s="17">
        <f>IF(C914&gt;0, 99 + (C914 * 2.5), 0)</f>
        <v/>
      </c>
    </row>
    <row r="915">
      <c r="A915" s="8" t="inlineStr">
        <is>
          <t>Spring Valley Airport Express LLC</t>
        </is>
      </c>
      <c r="B915" s="9" t="inlineStr">
        <is>
          <t>Boutique Transit</t>
        </is>
      </c>
      <c r="C915" s="10" t="n">
        <v>31</v>
      </c>
      <c r="D915" s="8" t="inlineStr">
        <is>
          <t>Mercedes-Benz Sprinter 3500</t>
        </is>
      </c>
      <c r="E915" s="8" t="inlineStr">
        <is>
          <t>Charles Wilson</t>
        </is>
      </c>
      <c r="F915" s="8" t="inlineStr">
        <is>
          <t>charles@springvalleyairportexpressllc.com</t>
        </is>
      </c>
      <c r="G915" s="8" t="inlineStr">
        <is>
          <t>702-555-3346</t>
        </is>
      </c>
      <c r="H915" s="9" t="inlineStr">
        <is>
          <t>DOT80242</t>
        </is>
      </c>
      <c r="I915" s="11" t="n">
        <v>0.103</v>
      </c>
      <c r="J915" s="8" t="inlineStr">
        <is>
          <t>Sprinter AC Comp Condensation Drain Backup Wiring Short</t>
        </is>
      </c>
      <c r="K915" s="9" t="inlineStr">
        <is>
          <t>Warm Prospect</t>
        </is>
      </c>
      <c r="L915" s="12">
        <f>IF(C915&gt;0, 99 + (C915 * 2.5), 0)</f>
        <v/>
      </c>
    </row>
    <row r="916">
      <c r="A916" s="13" t="inlineStr">
        <is>
          <t>Clark County Charter Buses Inc</t>
        </is>
      </c>
      <c r="B916" s="14" t="inlineStr">
        <is>
          <t>Boutique Transit</t>
        </is>
      </c>
      <c r="C916" s="15" t="n">
        <v>105</v>
      </c>
      <c r="D916" s="13" t="inlineStr">
        <is>
          <t>Ford Transit 350</t>
        </is>
      </c>
      <c r="E916" s="13" t="inlineStr">
        <is>
          <t>Joshua Taylor</t>
        </is>
      </c>
      <c r="F916" s="13" t="inlineStr">
        <is>
          <t>joshua@clarkcountycharterbusesinc.com</t>
        </is>
      </c>
      <c r="G916" s="13" t="inlineStr">
        <is>
          <t>702-555-3687</t>
        </is>
      </c>
      <c r="H916" s="14" t="inlineStr">
        <is>
          <t>DOT65009</t>
        </is>
      </c>
      <c r="I916" s="16" t="n">
        <v>0.295</v>
      </c>
      <c r="J916" s="13" t="inlineStr">
        <is>
          <t>Transit 114°F Electrical Module Overheat Wire Ground Fire Risk</t>
        </is>
      </c>
      <c r="K916" s="14" t="inlineStr">
        <is>
          <t>Warm Prospect</t>
        </is>
      </c>
      <c r="L916" s="17">
        <f>IF(C916&gt;0, 99 + (C916 * 2.5), 0)</f>
        <v/>
      </c>
    </row>
    <row r="917">
      <c r="A917" s="8" t="inlineStr">
        <is>
          <t>Titan Electric &amp; Solar Group</t>
        </is>
      </c>
      <c r="B917" s="9" t="inlineStr">
        <is>
          <t>Electrical Services</t>
        </is>
      </c>
      <c r="C917" s="10" t="n">
        <v>29</v>
      </c>
      <c r="D917" s="8" t="inlineStr">
        <is>
          <t>Chevy Express 3500</t>
        </is>
      </c>
      <c r="E917" s="8" t="inlineStr">
        <is>
          <t>Charles Brown</t>
        </is>
      </c>
      <c r="F917" s="8" t="inlineStr">
        <is>
          <t>charles@titanelectricsolargroup.com</t>
        </is>
      </c>
      <c r="G917" s="8" t="inlineStr">
        <is>
          <t>702-555-9707</t>
        </is>
      </c>
      <c r="H917" s="9" t="inlineStr">
        <is>
          <t>DOT24416</t>
        </is>
      </c>
      <c r="I917" s="11" t="n">
        <v>0.252</v>
      </c>
      <c r="J917" s="8" t="inlineStr">
        <is>
          <t>Express Engine Bay Hose Thermal Crack Hazard</t>
        </is>
      </c>
      <c r="K917" s="9" t="inlineStr">
        <is>
          <t>Warm Prospect</t>
        </is>
      </c>
      <c r="L917" s="12">
        <f>IF(C917&gt;0, 99 + (C917 * 2.5), 0)</f>
        <v/>
      </c>
    </row>
    <row r="918">
      <c r="A918" s="13" t="inlineStr">
        <is>
          <t>Valley Mechanical Services Inc</t>
        </is>
      </c>
      <c r="B918" s="14" t="inlineStr">
        <is>
          <t>HVAC/Plumbing</t>
        </is>
      </c>
      <c r="C918" s="15" t="n">
        <v>95</v>
      </c>
      <c r="D918" s="13" t="inlineStr">
        <is>
          <t>Ford Transit 150</t>
        </is>
      </c>
      <c r="E918" s="13" t="inlineStr">
        <is>
          <t>Charles Jones</t>
        </is>
      </c>
      <c r="F918" s="13" t="inlineStr">
        <is>
          <t>charles@valleymechanicalservicesinc.com</t>
        </is>
      </c>
      <c r="G918" s="13" t="inlineStr">
        <is>
          <t>702-555-4698</t>
        </is>
      </c>
      <c r="H918" s="14" t="inlineStr">
        <is>
          <t>DOT45867</t>
        </is>
      </c>
      <c r="I918" s="16" t="n">
        <v>0.043</v>
      </c>
      <c r="J918" s="13" t="inlineStr">
        <is>
          <t>Transit 114°F Electrical Module Overheat Wire Ground Fire Risk</t>
        </is>
      </c>
      <c r="K918" s="14" t="inlineStr">
        <is>
          <t>Warm Prospect</t>
        </is>
      </c>
      <c r="L918" s="17">
        <f>IF(C918&gt;0, 99 + (C918 * 2.5), 0)</f>
        <v/>
      </c>
    </row>
    <row r="919">
      <c r="A919" s="8" t="inlineStr">
        <is>
          <t>Titan Air Conditioning Inc</t>
        </is>
      </c>
      <c r="B919" s="9" t="inlineStr">
        <is>
          <t>HVAC/Plumbing</t>
        </is>
      </c>
      <c r="C919" s="10" t="n">
        <v>144</v>
      </c>
      <c r="D919" s="8" t="inlineStr">
        <is>
          <t>Ford Transit 350</t>
        </is>
      </c>
      <c r="E919" s="8" t="inlineStr">
        <is>
          <t>Christopher Jackson</t>
        </is>
      </c>
      <c r="F919" s="8" t="inlineStr">
        <is>
          <t>christopher@titanairconditioninginc.com</t>
        </is>
      </c>
      <c r="G919" s="8" t="inlineStr">
        <is>
          <t>702-555-9021</t>
        </is>
      </c>
      <c r="H919" s="9" t="inlineStr">
        <is>
          <t>DOT22522</t>
        </is>
      </c>
      <c r="I919" s="11" t="n">
        <v>0.204</v>
      </c>
      <c r="J919" s="8" t="inlineStr">
        <is>
          <t>Transit 114°F Electrical Module Overheat Wire Ground Fire Risk</t>
        </is>
      </c>
      <c r="K919" s="9" t="inlineStr">
        <is>
          <t>Audit Run</t>
        </is>
      </c>
      <c r="L919" s="12">
        <f>IF(C919&gt;0, 99 + (C919 * 2.5), 0)</f>
        <v/>
      </c>
    </row>
    <row r="920">
      <c r="A920" s="13" t="inlineStr">
        <is>
          <t>High Rise Electrical Contractors Group</t>
        </is>
      </c>
      <c r="B920" s="14" t="inlineStr">
        <is>
          <t>Electrical Services</t>
        </is>
      </c>
      <c r="C920" s="15" t="n">
        <v>22</v>
      </c>
      <c r="D920" s="13" t="inlineStr">
        <is>
          <t>Chevy Express 2500</t>
        </is>
      </c>
      <c r="E920" s="13" t="inlineStr">
        <is>
          <t>William Hernandez</t>
        </is>
      </c>
      <c r="F920" s="13" t="inlineStr">
        <is>
          <t>william@highriseelectricalcontractorsgroup.com</t>
        </is>
      </c>
      <c r="G920" s="13" t="inlineStr">
        <is>
          <t>702-555-7382</t>
        </is>
      </c>
      <c r="H920" s="14" t="inlineStr">
        <is>
          <t>DOT33681</t>
        </is>
      </c>
      <c r="I920" s="16" t="n">
        <v>0.147</v>
      </c>
      <c r="J920" s="13" t="inlineStr">
        <is>
          <t>Express Engine Bay Hose Thermal Crack Hazard</t>
        </is>
      </c>
      <c r="K920" s="14" t="inlineStr">
        <is>
          <t>Audit Run</t>
        </is>
      </c>
      <c r="L920" s="17">
        <f>IF(C920&gt;0, 99 + (C920 * 2.5), 0)</f>
        <v/>
      </c>
    </row>
    <row r="921">
      <c r="A921" s="8" t="inlineStr">
        <is>
          <t>Las Vegas Tours &amp; Transit LLC</t>
        </is>
      </c>
      <c r="B921" s="9" t="inlineStr">
        <is>
          <t>Boutique Transit</t>
        </is>
      </c>
      <c r="C921" s="10" t="n">
        <v>42</v>
      </c>
      <c r="D921" s="8" t="inlineStr">
        <is>
          <t>Ford Transit 350</t>
        </is>
      </c>
      <c r="E921" s="8" t="inlineStr">
        <is>
          <t>Charles Smith</t>
        </is>
      </c>
      <c r="F921" s="8" t="inlineStr">
        <is>
          <t>charles@lasvegastourstransitllc.com</t>
        </is>
      </c>
      <c r="G921" s="8" t="inlineStr">
        <is>
          <t>702-555-9414</t>
        </is>
      </c>
      <c r="H921" s="9" t="inlineStr">
        <is>
          <t>DOT30380</t>
        </is>
      </c>
      <c r="I921" s="11" t="n">
        <v>0.244</v>
      </c>
      <c r="J921" s="8" t="inlineStr">
        <is>
          <t>Transit 114°F Electrical Module Overheat Wire Ground Fire Risk</t>
        </is>
      </c>
      <c r="K921" s="9" t="inlineStr">
        <is>
          <t>Warm Prospect</t>
        </is>
      </c>
      <c r="L921" s="12">
        <f>IF(C921&gt;0, 99 + (C921 * 2.5), 0)</f>
        <v/>
      </c>
    </row>
    <row r="922">
      <c r="A922" s="13" t="inlineStr">
        <is>
          <t>Las Vegas Electric Pros LLC</t>
        </is>
      </c>
      <c r="B922" s="14" t="inlineStr">
        <is>
          <t>Electrical Services</t>
        </is>
      </c>
      <c r="C922" s="15" t="n">
        <v>104</v>
      </c>
      <c r="D922" s="13" t="inlineStr">
        <is>
          <t>Chevy Express 2500</t>
        </is>
      </c>
      <c r="E922" s="13" t="inlineStr">
        <is>
          <t>Thomas Martin</t>
        </is>
      </c>
      <c r="F922" s="13" t="inlineStr">
        <is>
          <t>thomas@lasvegaselectricprosllc.com</t>
        </is>
      </c>
      <c r="G922" s="13" t="inlineStr">
        <is>
          <t>702-555-7852</t>
        </is>
      </c>
      <c r="H922" s="14" t="inlineStr">
        <is>
          <t>DOT70003</t>
        </is>
      </c>
      <c r="I922" s="16" t="n">
        <v>0.097</v>
      </c>
      <c r="J922" s="13" t="inlineStr">
        <is>
          <t>Express Engine Bay Hose Thermal Crack Hazard</t>
        </is>
      </c>
      <c r="K922" s="14" t="inlineStr">
        <is>
          <t>Warm Prospect</t>
        </is>
      </c>
      <c r="L922" s="17">
        <f>IF(C922&gt;0, 99 + (C922 * 2.5), 0)</f>
        <v/>
      </c>
    </row>
    <row r="923">
      <c r="A923" s="8" t="inlineStr">
        <is>
          <t>High Rise Electrical Contractors LLC</t>
        </is>
      </c>
      <c r="B923" s="9" t="inlineStr">
        <is>
          <t>Electrical Services</t>
        </is>
      </c>
      <c r="C923" s="10" t="n">
        <v>143</v>
      </c>
      <c r="D923" s="8" t="inlineStr">
        <is>
          <t>Ram ProMaster 1500</t>
        </is>
      </c>
      <c r="E923" s="8" t="inlineStr">
        <is>
          <t>Thomas Martinez</t>
        </is>
      </c>
      <c r="F923" s="8" t="inlineStr">
        <is>
          <t>thomas@highriseelectricalcontractorsllc.com</t>
        </is>
      </c>
      <c r="G923" s="8" t="inlineStr">
        <is>
          <t>702-555-2424</t>
        </is>
      </c>
      <c r="H923" s="9" t="inlineStr">
        <is>
          <t>DOT50063</t>
        </is>
      </c>
      <c r="I923" s="11" t="n">
        <v>0.166</v>
      </c>
      <c r="J923" s="8" t="inlineStr">
        <is>
          <t>ProMaster Brake Line Rubbing Collision Abrasion Leak</t>
        </is>
      </c>
      <c r="K923" s="9" t="inlineStr">
        <is>
          <t>Warm Prospect</t>
        </is>
      </c>
      <c r="L923" s="12">
        <f>IF(C923&gt;0, 99 + (C923 * 2.5), 0)</f>
        <v/>
      </c>
    </row>
    <row r="924">
      <c r="A924" s="13" t="inlineStr">
        <is>
          <t>Vegas Valley Air Conditioning Inc</t>
        </is>
      </c>
      <c r="B924" s="14" t="inlineStr">
        <is>
          <t>HVAC/Plumbing</t>
        </is>
      </c>
      <c r="C924" s="15" t="n">
        <v>33</v>
      </c>
      <c r="D924" s="13" t="inlineStr">
        <is>
          <t>Ford Transit 350</t>
        </is>
      </c>
      <c r="E924" s="13" t="inlineStr">
        <is>
          <t>William Jackson</t>
        </is>
      </c>
      <c r="F924" s="13" t="inlineStr">
        <is>
          <t>william@vegasvalleyairconditioninginc.com</t>
        </is>
      </c>
      <c r="G924" s="13" t="inlineStr">
        <is>
          <t>702-555-1940</t>
        </is>
      </c>
      <c r="H924" s="14" t="inlineStr">
        <is>
          <t>DOT21086</t>
        </is>
      </c>
      <c r="I924" s="16" t="n">
        <v>0.27</v>
      </c>
      <c r="J924" s="13" t="inlineStr">
        <is>
          <t>Transit 114°F Electrical Module Overheat Wire Ground Fire Risk</t>
        </is>
      </c>
      <c r="K924" s="14" t="inlineStr">
        <is>
          <t>Audit Run</t>
        </is>
      </c>
      <c r="L924" s="17">
        <f>IF(C924&gt;0, 99 + (C924 * 2.5), 0)</f>
        <v/>
      </c>
    </row>
    <row r="925">
      <c r="A925" s="8" t="inlineStr">
        <is>
          <t>Henderson Electric &amp; Solar LLC</t>
        </is>
      </c>
      <c r="B925" s="9" t="inlineStr">
        <is>
          <t>Electrical Services</t>
        </is>
      </c>
      <c r="C925" s="10" t="n">
        <v>132</v>
      </c>
      <c r="D925" s="8" t="inlineStr">
        <is>
          <t>Chevy Express 3500</t>
        </is>
      </c>
      <c r="E925" s="8" t="inlineStr">
        <is>
          <t>Steven Taylor</t>
        </is>
      </c>
      <c r="F925" s="8" t="inlineStr">
        <is>
          <t>steven@hendersonelectricsolarllc.com</t>
        </is>
      </c>
      <c r="G925" s="8" t="inlineStr">
        <is>
          <t>702-555-9722</t>
        </is>
      </c>
      <c r="H925" s="9" t="inlineStr">
        <is>
          <t>DOT26343</t>
        </is>
      </c>
      <c r="I925" s="11" t="n">
        <v>0.166</v>
      </c>
      <c r="J925" s="8" t="inlineStr">
        <is>
          <t>Express Engine Bay Hose Thermal Crack Hazard</t>
        </is>
      </c>
      <c r="K925" s="9" t="inlineStr">
        <is>
          <t>Audit Run</t>
        </is>
      </c>
      <c r="L925" s="12">
        <f>IF(C925&gt;0, 99 + (C925 * 2.5), 0)</f>
        <v/>
      </c>
    </row>
    <row r="926">
      <c r="A926" s="13" t="inlineStr">
        <is>
          <t>Spring Valley Mechanical Services Inc</t>
        </is>
      </c>
      <c r="B926" s="14" t="inlineStr">
        <is>
          <t>HVAC/Plumbing</t>
        </is>
      </c>
      <c r="C926" s="15" t="n">
        <v>146</v>
      </c>
      <c r="D926" s="13" t="inlineStr">
        <is>
          <t>GMC Savana 2500</t>
        </is>
      </c>
      <c r="E926" s="13" t="inlineStr">
        <is>
          <t>Matthew Davis</t>
        </is>
      </c>
      <c r="F926" s="13" t="inlineStr">
        <is>
          <t>matthew@springvalleymechanicalservicesinc.com</t>
        </is>
      </c>
      <c r="G926" s="13" t="inlineStr">
        <is>
          <t>702-555-9652</t>
        </is>
      </c>
      <c r="H926" s="14" t="inlineStr">
        <is>
          <t>DOT99663</t>
        </is>
      </c>
      <c r="I926" s="16" t="n">
        <v>0.229</v>
      </c>
      <c r="J926" s="13" t="inlineStr">
        <is>
          <t>Savana Desert Fuel Line Seal Degradation Failure</t>
        </is>
      </c>
      <c r="K926" s="14" t="inlineStr">
        <is>
          <t>Audit Run</t>
        </is>
      </c>
      <c r="L926" s="17">
        <f>IF(C926&gt;0, 99 + (C926 * 2.5), 0)</f>
        <v/>
      </c>
    </row>
    <row r="927">
      <c r="A927" s="8" t="inlineStr">
        <is>
          <t>Red Rock Electric Pros Group</t>
        </is>
      </c>
      <c r="B927" s="9" t="inlineStr">
        <is>
          <t>Electrical Services</t>
        </is>
      </c>
      <c r="C927" s="10" t="n">
        <v>54</v>
      </c>
      <c r="D927" s="8" t="inlineStr">
        <is>
          <t>Chevy Express 3500</t>
        </is>
      </c>
      <c r="E927" s="8" t="inlineStr">
        <is>
          <t>James Lopez</t>
        </is>
      </c>
      <c r="F927" s="8" t="inlineStr">
        <is>
          <t>james@redrockelectricprosgroup.com</t>
        </is>
      </c>
      <c r="G927" s="8" t="inlineStr">
        <is>
          <t>702-555-3184</t>
        </is>
      </c>
      <c r="H927" s="9" t="inlineStr">
        <is>
          <t>DOT77329</t>
        </is>
      </c>
      <c r="I927" s="11" t="n">
        <v>0.15</v>
      </c>
      <c r="J927" s="8" t="inlineStr">
        <is>
          <t>Express Engine Bay Hose Thermal Crack Hazard</t>
        </is>
      </c>
      <c r="K927" s="9" t="inlineStr">
        <is>
          <t>Warm Prospect</t>
        </is>
      </c>
      <c r="L927" s="12">
        <f>IF(C927&gt;0, 99 + (C927 * 2.5), 0)</f>
        <v/>
      </c>
    </row>
    <row r="928">
      <c r="A928" s="13" t="inlineStr">
        <is>
          <t>First Choice Wiring Solutions Inc</t>
        </is>
      </c>
      <c r="B928" s="14" t="inlineStr">
        <is>
          <t>Electrical Services</t>
        </is>
      </c>
      <c r="C928" s="15" t="n">
        <v>38</v>
      </c>
      <c r="D928" s="13" t="inlineStr">
        <is>
          <t>Ram ProMaster 2500</t>
        </is>
      </c>
      <c r="E928" s="13" t="inlineStr">
        <is>
          <t>Daniel Davis</t>
        </is>
      </c>
      <c r="F928" s="13" t="inlineStr">
        <is>
          <t>daniel@firstchoicewiringsolutionsinc.com</t>
        </is>
      </c>
      <c r="G928" s="13" t="inlineStr">
        <is>
          <t>702-555-9832</t>
        </is>
      </c>
      <c r="H928" s="14" t="inlineStr">
        <is>
          <t>DOT25448</t>
        </is>
      </c>
      <c r="I928" s="16" t="n">
        <v>0.13</v>
      </c>
      <c r="J928" s="13" t="inlineStr">
        <is>
          <t>ProMaster Brake Line Rubbing Collision Abrasion Leak</t>
        </is>
      </c>
      <c r="K928" s="14" t="inlineStr">
        <is>
          <t>Warm Prospect</t>
        </is>
      </c>
      <c r="L928" s="17">
        <f>IF(C928&gt;0, 99 + (C928 * 2.5), 0)</f>
        <v/>
      </c>
    </row>
    <row r="929">
      <c r="A929" s="8" t="inlineStr">
        <is>
          <t>Mojave Power Systems Inc</t>
        </is>
      </c>
      <c r="B929" s="9" t="inlineStr">
        <is>
          <t>Electrical Services</t>
        </is>
      </c>
      <c r="C929" s="10" t="n">
        <v>65</v>
      </c>
      <c r="D929" s="8" t="inlineStr">
        <is>
          <t>Ram ProMaster 1500</t>
        </is>
      </c>
      <c r="E929" s="8" t="inlineStr">
        <is>
          <t>Christopher Taylor</t>
        </is>
      </c>
      <c r="F929" s="8" t="inlineStr">
        <is>
          <t>christopher@mojavepowersystemsinc.com</t>
        </is>
      </c>
      <c r="G929" s="8" t="inlineStr">
        <is>
          <t>702-555-1580</t>
        </is>
      </c>
      <c r="H929" s="9" t="inlineStr">
        <is>
          <t>DOT70693</t>
        </is>
      </c>
      <c r="I929" s="11" t="n">
        <v>0.317</v>
      </c>
      <c r="J929" s="8" t="inlineStr">
        <is>
          <t>ProMaster Brake Line Rubbing Collision Abrasion Leak</t>
        </is>
      </c>
      <c r="K929" s="9" t="inlineStr">
        <is>
          <t>Warm Prospect</t>
        </is>
      </c>
      <c r="L929" s="12">
        <f>IF(C929&gt;0, 99 + (C929 * 2.5), 0)</f>
        <v/>
      </c>
    </row>
    <row r="930">
      <c r="A930" s="13" t="inlineStr">
        <is>
          <t>Valley Air Conditioning Group</t>
        </is>
      </c>
      <c r="B930" s="14" t="inlineStr">
        <is>
          <t>HVAC/Plumbing</t>
        </is>
      </c>
      <c r="C930" s="15" t="n">
        <v>94</v>
      </c>
      <c r="D930" s="13" t="inlineStr">
        <is>
          <t>GMC Savana 2500</t>
        </is>
      </c>
      <c r="E930" s="13" t="inlineStr">
        <is>
          <t>Christopher Lopez</t>
        </is>
      </c>
      <c r="F930" s="13" t="inlineStr">
        <is>
          <t>christopher@valleyairconditioninggroup.com</t>
        </is>
      </c>
      <c r="G930" s="13" t="inlineStr">
        <is>
          <t>702-555-2755</t>
        </is>
      </c>
      <c r="H930" s="14" t="inlineStr">
        <is>
          <t>DOT10675</t>
        </is>
      </c>
      <c r="I930" s="16" t="n">
        <v>0.148</v>
      </c>
      <c r="J930" s="13" t="inlineStr">
        <is>
          <t>Savana Desert Fuel Line Seal Degradation Failure</t>
        </is>
      </c>
      <c r="K930" s="14" t="inlineStr">
        <is>
          <t>Warm Prospect</t>
        </is>
      </c>
      <c r="L930" s="17">
        <f>IF(C930&gt;0, 99 + (C930 * 2.5), 0)</f>
        <v/>
      </c>
    </row>
    <row r="931">
      <c r="A931" s="8" t="inlineStr">
        <is>
          <t>Valley Electric &amp; Solar Inc</t>
        </is>
      </c>
      <c r="B931" s="9" t="inlineStr">
        <is>
          <t>Electrical Services</t>
        </is>
      </c>
      <c r="C931" s="10" t="n">
        <v>135</v>
      </c>
      <c r="D931" s="8" t="inlineStr">
        <is>
          <t>Ram ProMaster 1500</t>
        </is>
      </c>
      <c r="E931" s="8" t="inlineStr">
        <is>
          <t>Richard Williams</t>
        </is>
      </c>
      <c r="F931" s="8" t="inlineStr">
        <is>
          <t>richard@valleyelectricsolarinc.com</t>
        </is>
      </c>
      <c r="G931" s="8" t="inlineStr">
        <is>
          <t>702-555-9668</t>
        </is>
      </c>
      <c r="H931" s="9" t="inlineStr">
        <is>
          <t>DOT77412</t>
        </is>
      </c>
      <c r="I931" s="11" t="n">
        <v>0.319</v>
      </c>
      <c r="J931" s="8" t="inlineStr">
        <is>
          <t>ProMaster Brake Line Rubbing Collision Abrasion Leak</t>
        </is>
      </c>
      <c r="K931" s="9" t="inlineStr">
        <is>
          <t>Warm Prospect</t>
        </is>
      </c>
      <c r="L931" s="12">
        <f>IF(C931&gt;0, 99 + (C931 * 2.5), 0)</f>
        <v/>
      </c>
    </row>
    <row r="932">
      <c r="A932" s="13" t="inlineStr">
        <is>
          <t>Spring Valley Comfort Heating Inc</t>
        </is>
      </c>
      <c r="B932" s="14" t="inlineStr">
        <is>
          <t>HVAC/Plumbing</t>
        </is>
      </c>
      <c r="C932" s="15" t="n">
        <v>74</v>
      </c>
      <c r="D932" s="13" t="inlineStr">
        <is>
          <t>Ford Transit 350</t>
        </is>
      </c>
      <c r="E932" s="13" t="inlineStr">
        <is>
          <t>Thomas Thomas</t>
        </is>
      </c>
      <c r="F932" s="13" t="inlineStr">
        <is>
          <t>thomas@springvalleycomfortheatinginc.com</t>
        </is>
      </c>
      <c r="G932" s="13" t="inlineStr">
        <is>
          <t>702-555-7477</t>
        </is>
      </c>
      <c r="H932" s="14" t="inlineStr">
        <is>
          <t>DOT59061</t>
        </is>
      </c>
      <c r="I932" s="16" t="n">
        <v>0.133</v>
      </c>
      <c r="J932" s="13" t="inlineStr">
        <is>
          <t>Transit 114°F Electrical Module Overheat Wire Ground Fire Risk</t>
        </is>
      </c>
      <c r="K932" s="14" t="inlineStr">
        <is>
          <t>Warm Prospect</t>
        </is>
      </c>
      <c r="L932" s="17">
        <f>IF(C932&gt;0, 99 + (C932 * 2.5), 0)</f>
        <v/>
      </c>
    </row>
    <row r="933">
      <c r="A933" s="8" t="inlineStr">
        <is>
          <t>High Rise HVAC Services Inc</t>
        </is>
      </c>
      <c r="B933" s="9" t="inlineStr">
        <is>
          <t>HVAC/Plumbing</t>
        </is>
      </c>
      <c r="C933" s="10" t="n">
        <v>122</v>
      </c>
      <c r="D933" s="8" t="inlineStr">
        <is>
          <t>GMC Savana 2500</t>
        </is>
      </c>
      <c r="E933" s="8" t="inlineStr">
        <is>
          <t>William Jones</t>
        </is>
      </c>
      <c r="F933" s="8" t="inlineStr">
        <is>
          <t>william@highrisehvacservicesinc.com</t>
        </is>
      </c>
      <c r="G933" s="8" t="inlineStr">
        <is>
          <t>702-555-6795</t>
        </is>
      </c>
      <c r="H933" s="9" t="inlineStr">
        <is>
          <t>DOT66880</t>
        </is>
      </c>
      <c r="I933" s="11" t="n">
        <v>0.042</v>
      </c>
      <c r="J933" s="8" t="inlineStr">
        <is>
          <t>Savana Desert Fuel Line Seal Degradation Failure</t>
        </is>
      </c>
      <c r="K933" s="9" t="inlineStr">
        <is>
          <t>Warm Prospect</t>
        </is>
      </c>
      <c r="L933" s="12">
        <f>IF(C933&gt;0, 99 + (C933 * 2.5), 0)</f>
        <v/>
      </c>
    </row>
    <row r="934">
      <c r="A934" s="13" t="inlineStr">
        <is>
          <t>Sunset HVAC Services Inc</t>
        </is>
      </c>
      <c r="B934" s="14" t="inlineStr">
        <is>
          <t>HVAC/Plumbing</t>
        </is>
      </c>
      <c r="C934" s="15" t="n">
        <v>111</v>
      </c>
      <c r="D934" s="13" t="inlineStr">
        <is>
          <t>Ford Transit 350</t>
        </is>
      </c>
      <c r="E934" s="13" t="inlineStr">
        <is>
          <t>Mark Hernandez</t>
        </is>
      </c>
      <c r="F934" s="13" t="inlineStr">
        <is>
          <t>mark@sunsethvacservicesinc.com</t>
        </is>
      </c>
      <c r="G934" s="13" t="inlineStr">
        <is>
          <t>702-555-1517</t>
        </is>
      </c>
      <c r="H934" s="14" t="inlineStr">
        <is>
          <t>DOT31012</t>
        </is>
      </c>
      <c r="I934" s="16" t="n">
        <v>0.247</v>
      </c>
      <c r="J934" s="13" t="inlineStr">
        <is>
          <t>Transit 114°F Electrical Module Overheat Wire Ground Fire Risk</t>
        </is>
      </c>
      <c r="K934" s="14" t="inlineStr">
        <is>
          <t>Warm Prospect</t>
        </is>
      </c>
      <c r="L934" s="17">
        <f>IF(C934&gt;0, 99 + (C934 * 2.5), 0)</f>
        <v/>
      </c>
    </row>
    <row r="935">
      <c r="A935" s="8" t="inlineStr">
        <is>
          <t>Mojave Shuttles LLC</t>
        </is>
      </c>
      <c r="B935" s="9" t="inlineStr">
        <is>
          <t>Boutique Transit</t>
        </is>
      </c>
      <c r="C935" s="10" t="n">
        <v>150</v>
      </c>
      <c r="D935" s="8" t="inlineStr">
        <is>
          <t>Mercedes-Benz Sprinter 3500</t>
        </is>
      </c>
      <c r="E935" s="8" t="inlineStr">
        <is>
          <t>Steven Jones</t>
        </is>
      </c>
      <c r="F935" s="8" t="inlineStr">
        <is>
          <t>steven@mojaveshuttlesllc.com</t>
        </is>
      </c>
      <c r="G935" s="8" t="inlineStr">
        <is>
          <t>702-555-6322</t>
        </is>
      </c>
      <c r="H935" s="9" t="inlineStr">
        <is>
          <t>DOT62412</t>
        </is>
      </c>
      <c r="I935" s="11" t="n">
        <v>0.196</v>
      </c>
      <c r="J935" s="8" t="inlineStr">
        <is>
          <t>Sprinter AC Comp Condensation Drain Backup Wiring Short</t>
        </is>
      </c>
      <c r="K935" s="9" t="inlineStr">
        <is>
          <t>Warm Prospect</t>
        </is>
      </c>
      <c r="L935" s="12">
        <f>IF(C935&gt;0, 99 + (C935 * 2.5), 0)</f>
        <v/>
      </c>
    </row>
    <row r="936">
      <c r="A936" s="13" t="inlineStr">
        <is>
          <t>Apex Air Conditioning Inc</t>
        </is>
      </c>
      <c r="B936" s="14" t="inlineStr">
        <is>
          <t>HVAC/Plumbing</t>
        </is>
      </c>
      <c r="C936" s="15" t="n">
        <v>49</v>
      </c>
      <c r="D936" s="13" t="inlineStr">
        <is>
          <t>Ford Transit 350</t>
        </is>
      </c>
      <c r="E936" s="13" t="inlineStr">
        <is>
          <t>Matthew Taylor</t>
        </is>
      </c>
      <c r="F936" s="13" t="inlineStr">
        <is>
          <t>matthew@apexairconditioninginc.com</t>
        </is>
      </c>
      <c r="G936" s="13" t="inlineStr">
        <is>
          <t>702-555-1223</t>
        </is>
      </c>
      <c r="H936" s="14" t="inlineStr">
        <is>
          <t>DOT99710</t>
        </is>
      </c>
      <c r="I936" s="16" t="n">
        <v>0.113</v>
      </c>
      <c r="J936" s="13" t="inlineStr">
        <is>
          <t>Transit 114°F Electrical Module Overheat Wire Ground Fire Risk</t>
        </is>
      </c>
      <c r="K936" s="14" t="inlineStr">
        <is>
          <t>Warm Prospect</t>
        </is>
      </c>
      <c r="L936" s="17">
        <f>IF(C936&gt;0, 99 + (C936 * 2.5), 0)</f>
        <v/>
      </c>
    </row>
    <row r="937">
      <c r="A937" s="8" t="inlineStr">
        <is>
          <t>Las Vegas Electric Pros Inc</t>
        </is>
      </c>
      <c r="B937" s="9" t="inlineStr">
        <is>
          <t>Electrical Services</t>
        </is>
      </c>
      <c r="C937" s="10" t="n">
        <v>132</v>
      </c>
      <c r="D937" s="8" t="inlineStr">
        <is>
          <t>Ram ProMaster 1500</t>
        </is>
      </c>
      <c r="E937" s="8" t="inlineStr">
        <is>
          <t>Christopher Martinez</t>
        </is>
      </c>
      <c r="F937" s="8" t="inlineStr">
        <is>
          <t>christopher@lasvegaselectricprosinc.com</t>
        </is>
      </c>
      <c r="G937" s="8" t="inlineStr">
        <is>
          <t>702-555-8961</t>
        </is>
      </c>
      <c r="H937" s="9" t="inlineStr">
        <is>
          <t>DOT20828</t>
        </is>
      </c>
      <c r="I937" s="11" t="n">
        <v>0.276</v>
      </c>
      <c r="J937" s="8" t="inlineStr">
        <is>
          <t>ProMaster Brake Line Rubbing Collision Abrasion Leak</t>
        </is>
      </c>
      <c r="K937" s="9" t="inlineStr">
        <is>
          <t>Warm Prospect</t>
        </is>
      </c>
      <c r="L937" s="12">
        <f>IF(C937&gt;0, 99 + (C937 * 2.5), 0)</f>
        <v/>
      </c>
    </row>
    <row r="938">
      <c r="A938" s="13" t="inlineStr">
        <is>
          <t>Red Rock Charter Buses Group</t>
        </is>
      </c>
      <c r="B938" s="14" t="inlineStr">
        <is>
          <t>Boutique Transit</t>
        </is>
      </c>
      <c r="C938" s="15" t="n">
        <v>73</v>
      </c>
      <c r="D938" s="13" t="inlineStr">
        <is>
          <t>Mercedes-Benz Sprinter 2500</t>
        </is>
      </c>
      <c r="E938" s="13" t="inlineStr">
        <is>
          <t>Charles Brown</t>
        </is>
      </c>
      <c r="F938" s="13" t="inlineStr">
        <is>
          <t>charles@redrockcharterbusesgroup.com</t>
        </is>
      </c>
      <c r="G938" s="13" t="inlineStr">
        <is>
          <t>702-555-5317</t>
        </is>
      </c>
      <c r="H938" s="14" t="inlineStr">
        <is>
          <t>DOT42421</t>
        </is>
      </c>
      <c r="I938" s="16" t="n">
        <v>0.247</v>
      </c>
      <c r="J938" s="13" t="inlineStr">
        <is>
          <t>Sprinter AC Comp Condensation Drain Backup Wiring Short</t>
        </is>
      </c>
      <c r="K938" s="14" t="inlineStr">
        <is>
          <t>Warm Prospect</t>
        </is>
      </c>
      <c r="L938" s="17">
        <f>IF(C938&gt;0, 99 + (C938 * 2.5), 0)</f>
        <v/>
      </c>
    </row>
    <row r="939">
      <c r="A939" s="8" t="inlineStr">
        <is>
          <t>First Choice Mechanical Services Inc</t>
        </is>
      </c>
      <c r="B939" s="9" t="inlineStr">
        <is>
          <t>HVAC/Plumbing</t>
        </is>
      </c>
      <c r="C939" s="10" t="n">
        <v>56</v>
      </c>
      <c r="D939" s="8" t="inlineStr">
        <is>
          <t>Chevy Express 2500</t>
        </is>
      </c>
      <c r="E939" s="8" t="inlineStr">
        <is>
          <t>Richard Jackson</t>
        </is>
      </c>
      <c r="F939" s="8" t="inlineStr">
        <is>
          <t>richard@firstchoicemechanicalservicesinc.com</t>
        </is>
      </c>
      <c r="G939" s="8" t="inlineStr">
        <is>
          <t>702-555-3436</t>
        </is>
      </c>
      <c r="H939" s="9" t="inlineStr">
        <is>
          <t>DOT40065</t>
        </is>
      </c>
      <c r="I939" s="11" t="n">
        <v>0.077</v>
      </c>
      <c r="J939" s="8" t="inlineStr">
        <is>
          <t>Express Engine Bay Hose Thermal Crack Hazard</t>
        </is>
      </c>
      <c r="K939" s="9" t="inlineStr">
        <is>
          <t>Warm Prospect</t>
        </is>
      </c>
      <c r="L939" s="12">
        <f>IF(C939&gt;0, 99 + (C939 * 2.5), 0)</f>
        <v/>
      </c>
    </row>
    <row r="940">
      <c r="A940" s="13" t="inlineStr">
        <is>
          <t>Mojave Plumbing &amp; Drain Inc</t>
        </is>
      </c>
      <c r="B940" s="14" t="inlineStr">
        <is>
          <t>HVAC/Plumbing</t>
        </is>
      </c>
      <c r="C940" s="15" t="n">
        <v>14</v>
      </c>
      <c r="D940" s="13" t="inlineStr">
        <is>
          <t>GMC Savana 2500</t>
        </is>
      </c>
      <c r="E940" s="13" t="inlineStr">
        <is>
          <t>Kenneth Miller</t>
        </is>
      </c>
      <c r="F940" s="13" t="inlineStr">
        <is>
          <t>kenneth@mojaveplumbingdraininc.com</t>
        </is>
      </c>
      <c r="G940" s="13" t="inlineStr">
        <is>
          <t>702-555-2489</t>
        </is>
      </c>
      <c r="H940" s="14" t="inlineStr">
        <is>
          <t>DOT16678</t>
        </is>
      </c>
      <c r="I940" s="16" t="n">
        <v>0.158</v>
      </c>
      <c r="J940" s="13" t="inlineStr">
        <is>
          <t>Savana Desert Fuel Line Seal Degradation Failure</t>
        </is>
      </c>
      <c r="K940" s="14" t="inlineStr">
        <is>
          <t>Audit Run</t>
        </is>
      </c>
      <c r="L940" s="17">
        <f>IF(C940&gt;0, 99 + (C940 * 2.5), 0)</f>
        <v/>
      </c>
    </row>
    <row r="941">
      <c r="A941" s="8" t="inlineStr">
        <is>
          <t>Clark County Electric Pros Inc</t>
        </is>
      </c>
      <c r="B941" s="9" t="inlineStr">
        <is>
          <t>Electrical Services</t>
        </is>
      </c>
      <c r="C941" s="10" t="n">
        <v>96</v>
      </c>
      <c r="D941" s="8" t="inlineStr">
        <is>
          <t>Chevy Express 3500</t>
        </is>
      </c>
      <c r="E941" s="8" t="inlineStr">
        <is>
          <t>Mark Thomas</t>
        </is>
      </c>
      <c r="F941" s="8" t="inlineStr">
        <is>
          <t>mark@clarkcountyelectricprosinc.com</t>
        </is>
      </c>
      <c r="G941" s="8" t="inlineStr">
        <is>
          <t>702-555-2005</t>
        </is>
      </c>
      <c r="H941" s="9" t="inlineStr">
        <is>
          <t>DOT76828</t>
        </is>
      </c>
      <c r="I941" s="11" t="n">
        <v>0.172</v>
      </c>
      <c r="J941" s="8" t="inlineStr">
        <is>
          <t>Express Engine Bay Hose Thermal Crack Hazard</t>
        </is>
      </c>
      <c r="K941" s="9" t="inlineStr">
        <is>
          <t>Warm Prospect</t>
        </is>
      </c>
      <c r="L941" s="12">
        <f>IF(C941&gt;0, 99 + (C941 * 2.5), 0)</f>
        <v/>
      </c>
    </row>
    <row r="942">
      <c r="A942" s="13" t="inlineStr">
        <is>
          <t>Apex Electrical Contractors LLC</t>
        </is>
      </c>
      <c r="B942" s="14" t="inlineStr">
        <is>
          <t>Electrical Services</t>
        </is>
      </c>
      <c r="C942" s="15" t="n">
        <v>99</v>
      </c>
      <c r="D942" s="13" t="inlineStr">
        <is>
          <t>Ram ProMaster 2500</t>
        </is>
      </c>
      <c r="E942" s="13" t="inlineStr">
        <is>
          <t>Mark Davis</t>
        </is>
      </c>
      <c r="F942" s="13" t="inlineStr">
        <is>
          <t>mark@apexelectricalcontractorsllc.com</t>
        </is>
      </c>
      <c r="G942" s="13" t="inlineStr">
        <is>
          <t>702-555-6240</t>
        </is>
      </c>
      <c r="H942" s="14" t="inlineStr">
        <is>
          <t>DOT16233</t>
        </is>
      </c>
      <c r="I942" s="16" t="n">
        <v>0.096</v>
      </c>
      <c r="J942" s="13" t="inlineStr">
        <is>
          <t>ProMaster Brake Line Rubbing Collision Abrasion Leak</t>
        </is>
      </c>
      <c r="K942" s="14" t="inlineStr">
        <is>
          <t>Warm Prospect</t>
        </is>
      </c>
      <c r="L942" s="17">
        <f>IF(C942&gt;0, 99 + (C942 * 2.5), 0)</f>
        <v/>
      </c>
    </row>
    <row r="943">
      <c r="A943" s="8" t="inlineStr">
        <is>
          <t>Vegas Valley Mechanical Services LLC</t>
        </is>
      </c>
      <c r="B943" s="9" t="inlineStr">
        <is>
          <t>HVAC/Plumbing</t>
        </is>
      </c>
      <c r="C943" s="10" t="n">
        <v>83</v>
      </c>
      <c r="D943" s="8" t="inlineStr">
        <is>
          <t>Ford Transit 350</t>
        </is>
      </c>
      <c r="E943" s="8" t="inlineStr">
        <is>
          <t>Steven Rodriguez</t>
        </is>
      </c>
      <c r="F943" s="8" t="inlineStr">
        <is>
          <t>steven@vegasvalleymechanicalservicesllc.com</t>
        </is>
      </c>
      <c r="G943" s="8" t="inlineStr">
        <is>
          <t>702-555-2650</t>
        </is>
      </c>
      <c r="H943" s="9" t="inlineStr">
        <is>
          <t>DOT66479</t>
        </is>
      </c>
      <c r="I943" s="11" t="n">
        <v>0.097</v>
      </c>
      <c r="J943" s="8" t="inlineStr">
        <is>
          <t>Transit 114°F Electrical Module Overheat Wire Ground Fire Risk</t>
        </is>
      </c>
      <c r="K943" s="9" t="inlineStr">
        <is>
          <t>Warm Prospect</t>
        </is>
      </c>
      <c r="L943" s="12">
        <f>IF(C943&gt;0, 99 + (C943 * 2.5), 0)</f>
        <v/>
      </c>
    </row>
    <row r="944">
      <c r="A944" s="13" t="inlineStr">
        <is>
          <t>Valley Electrical Contractors Inc</t>
        </is>
      </c>
      <c r="B944" s="14" t="inlineStr">
        <is>
          <t>Electrical Services</t>
        </is>
      </c>
      <c r="C944" s="15" t="n">
        <v>13</v>
      </c>
      <c r="D944" s="13" t="inlineStr">
        <is>
          <t>Chevy Express 2500</t>
        </is>
      </c>
      <c r="E944" s="13" t="inlineStr">
        <is>
          <t>Andrew Jones</t>
        </is>
      </c>
      <c r="F944" s="13" t="inlineStr">
        <is>
          <t>andrew@valleyelectricalcontractorsinc.com</t>
        </is>
      </c>
      <c r="G944" s="13" t="inlineStr">
        <is>
          <t>702-555-6426</t>
        </is>
      </c>
      <c r="H944" s="14" t="inlineStr">
        <is>
          <t>DOT57260</t>
        </is>
      </c>
      <c r="I944" s="16" t="n">
        <v>0.27</v>
      </c>
      <c r="J944" s="13" t="inlineStr">
        <is>
          <t>Express Engine Bay Hose Thermal Crack Hazard</t>
        </is>
      </c>
      <c r="K944" s="14" t="inlineStr">
        <is>
          <t>Warm Prospect</t>
        </is>
      </c>
      <c r="L944" s="17">
        <f>IF(C944&gt;0, 99 + (C944 * 2.5), 0)</f>
        <v/>
      </c>
    </row>
    <row r="945">
      <c r="A945" s="8" t="inlineStr">
        <is>
          <t>Henderson Logistics Group</t>
        </is>
      </c>
      <c r="B945" s="9" t="inlineStr">
        <is>
          <t>Boutique Transit</t>
        </is>
      </c>
      <c r="C945" s="10" t="n">
        <v>105</v>
      </c>
      <c r="D945" s="8" t="inlineStr">
        <is>
          <t>Ford Transit 350</t>
        </is>
      </c>
      <c r="E945" s="8" t="inlineStr">
        <is>
          <t>Thomas Rodriguez</t>
        </is>
      </c>
      <c r="F945" s="8" t="inlineStr">
        <is>
          <t>thomas@hendersonlogisticsgroup.com</t>
        </is>
      </c>
      <c r="G945" s="8" t="inlineStr">
        <is>
          <t>702-555-4441</t>
        </is>
      </c>
      <c r="H945" s="9" t="inlineStr">
        <is>
          <t>DOT86588</t>
        </is>
      </c>
      <c r="I945" s="11" t="n">
        <v>0.159</v>
      </c>
      <c r="J945" s="8" t="inlineStr">
        <is>
          <t>Transit 114°F Electrical Module Overheat Wire Ground Fire Risk</t>
        </is>
      </c>
      <c r="K945" s="9" t="inlineStr">
        <is>
          <t>Warm Prospect</t>
        </is>
      </c>
      <c r="L945" s="12">
        <f>IF(C945&gt;0, 99 + (C945 * 2.5), 0)</f>
        <v/>
      </c>
    </row>
    <row r="946">
      <c r="A946" s="13" t="inlineStr">
        <is>
          <t>Vegas Valley Mechanical Services Group</t>
        </is>
      </c>
      <c r="B946" s="14" t="inlineStr">
        <is>
          <t>HVAC/Plumbing</t>
        </is>
      </c>
      <c r="C946" s="15" t="n">
        <v>20</v>
      </c>
      <c r="D946" s="13" t="inlineStr">
        <is>
          <t>Ford Transit 250</t>
        </is>
      </c>
      <c r="E946" s="13" t="inlineStr">
        <is>
          <t>Joshua Miller</t>
        </is>
      </c>
      <c r="F946" s="13" t="inlineStr">
        <is>
          <t>joshua@vegasvalleymechanicalservicesgroup.com</t>
        </is>
      </c>
      <c r="G946" s="13" t="inlineStr">
        <is>
          <t>702-555-4160</t>
        </is>
      </c>
      <c r="H946" s="14" t="inlineStr">
        <is>
          <t>DOT68427</t>
        </is>
      </c>
      <c r="I946" s="16" t="n">
        <v>0.327</v>
      </c>
      <c r="J946" s="13" t="inlineStr">
        <is>
          <t>Transit 114°F Electrical Module Overheat Wire Ground Fire Risk</t>
        </is>
      </c>
      <c r="K946" s="14" t="inlineStr">
        <is>
          <t>Warm Prospect</t>
        </is>
      </c>
      <c r="L946" s="17">
        <f>IF(C946&gt;0, 99 + (C946 * 2.5), 0)</f>
        <v/>
      </c>
    </row>
    <row r="947">
      <c r="A947" s="8" t="inlineStr">
        <is>
          <t>Las Vegas Chauffeurs LLC</t>
        </is>
      </c>
      <c r="B947" s="9" t="inlineStr">
        <is>
          <t>Boutique Transit</t>
        </is>
      </c>
      <c r="C947" s="10" t="n">
        <v>131</v>
      </c>
      <c r="D947" s="8" t="inlineStr">
        <is>
          <t>Ford Transit 350</t>
        </is>
      </c>
      <c r="E947" s="8" t="inlineStr">
        <is>
          <t>Richard Moore</t>
        </is>
      </c>
      <c r="F947" s="8" t="inlineStr">
        <is>
          <t>richard@lasvegaschauffeursllc.com</t>
        </is>
      </c>
      <c r="G947" s="8" t="inlineStr">
        <is>
          <t>702-555-3517</t>
        </is>
      </c>
      <c r="H947" s="9" t="inlineStr">
        <is>
          <t>DOT15742</t>
        </is>
      </c>
      <c r="I947" s="11" t="n">
        <v>0.08</v>
      </c>
      <c r="J947" s="8" t="inlineStr">
        <is>
          <t>Transit 114°F Electrical Module Overheat Wire Ground Fire Risk</t>
        </is>
      </c>
      <c r="K947" s="9" t="inlineStr">
        <is>
          <t>Warm Prospect</t>
        </is>
      </c>
      <c r="L947" s="12">
        <f>IF(C947&gt;0, 99 + (C947 * 2.5), 0)</f>
        <v/>
      </c>
    </row>
    <row r="948">
      <c r="A948" s="13" t="inlineStr">
        <is>
          <t>Clark County Chauffeurs Group</t>
        </is>
      </c>
      <c r="B948" s="14" t="inlineStr">
        <is>
          <t>Boutique Transit</t>
        </is>
      </c>
      <c r="C948" s="15" t="n">
        <v>103</v>
      </c>
      <c r="D948" s="13" t="inlineStr">
        <is>
          <t>Mercedes-Benz Sprinter 3500</t>
        </is>
      </c>
      <c r="E948" s="13" t="inlineStr">
        <is>
          <t>Donald Brown</t>
        </is>
      </c>
      <c r="F948" s="13" t="inlineStr">
        <is>
          <t>donald@clarkcountychauffeursgroup.com</t>
        </is>
      </c>
      <c r="G948" s="13" t="inlineStr">
        <is>
          <t>702-555-8145</t>
        </is>
      </c>
      <c r="H948" s="14" t="inlineStr">
        <is>
          <t>DOT18874</t>
        </is>
      </c>
      <c r="I948" s="16" t="n">
        <v>0.19</v>
      </c>
      <c r="J948" s="13" t="inlineStr">
        <is>
          <t>Sprinter AC Comp Condensation Drain Backup Wiring Short</t>
        </is>
      </c>
      <c r="K948" s="14" t="inlineStr">
        <is>
          <t>Audit Run</t>
        </is>
      </c>
      <c r="L948" s="17">
        <f>IF(C948&gt;0, 99 + (C948 * 2.5), 0)</f>
        <v/>
      </c>
    </row>
    <row r="949">
      <c r="A949" s="8" t="inlineStr">
        <is>
          <t>Henderson Shuttles Inc</t>
        </is>
      </c>
      <c r="B949" s="9" t="inlineStr">
        <is>
          <t>Boutique Transit</t>
        </is>
      </c>
      <c r="C949" s="10" t="n">
        <v>80</v>
      </c>
      <c r="D949" s="8" t="inlineStr">
        <is>
          <t>Ford Transit 350</t>
        </is>
      </c>
      <c r="E949" s="8" t="inlineStr">
        <is>
          <t>David Martinez</t>
        </is>
      </c>
      <c r="F949" s="8" t="inlineStr">
        <is>
          <t>david@hendersonshuttlesinc.com</t>
        </is>
      </c>
      <c r="G949" s="8" t="inlineStr">
        <is>
          <t>702-555-1744</t>
        </is>
      </c>
      <c r="H949" s="9" t="inlineStr">
        <is>
          <t>DOT84209</t>
        </is>
      </c>
      <c r="I949" s="11" t="n">
        <v>0.059</v>
      </c>
      <c r="J949" s="8" t="inlineStr">
        <is>
          <t>Transit 114°F Electrical Module Overheat Wire Ground Fire Risk</t>
        </is>
      </c>
      <c r="K949" s="9" t="inlineStr">
        <is>
          <t>Warm Prospect</t>
        </is>
      </c>
      <c r="L949" s="12">
        <f>IF(C949&gt;0, 99 + (C949 * 2.5), 0)</f>
        <v/>
      </c>
    </row>
    <row r="950">
      <c r="A950" s="13" t="inlineStr">
        <is>
          <t>Summerlin Tours &amp; Transit LLC</t>
        </is>
      </c>
      <c r="B950" s="14" t="inlineStr">
        <is>
          <t>Boutique Transit</t>
        </is>
      </c>
      <c r="C950" s="15" t="n">
        <v>146</v>
      </c>
      <c r="D950" s="13" t="inlineStr">
        <is>
          <t>Ford Transit 350</t>
        </is>
      </c>
      <c r="E950" s="13" t="inlineStr">
        <is>
          <t>Paul Williams</t>
        </is>
      </c>
      <c r="F950" s="13" t="inlineStr">
        <is>
          <t>paul@summerlintourstransitllc.com</t>
        </is>
      </c>
      <c r="G950" s="13" t="inlineStr">
        <is>
          <t>702-555-3711</t>
        </is>
      </c>
      <c r="H950" s="14" t="inlineStr">
        <is>
          <t>DOT67376</t>
        </is>
      </c>
      <c r="I950" s="16" t="n">
        <v>0.273</v>
      </c>
      <c r="J950" s="13" t="inlineStr">
        <is>
          <t>Transit 114°F Electrical Module Overheat Wire Ground Fire Risk</t>
        </is>
      </c>
      <c r="K950" s="14" t="inlineStr">
        <is>
          <t>Warm Prospect</t>
        </is>
      </c>
      <c r="L950" s="17">
        <f>IF(C950&gt;0, 99 + (C950 * 2.5), 0)</f>
        <v/>
      </c>
    </row>
    <row r="951">
      <c r="A951" s="8" t="inlineStr">
        <is>
          <t>Henderson Tours &amp; Transit LLC</t>
        </is>
      </c>
      <c r="B951" s="9" t="inlineStr">
        <is>
          <t>Boutique Transit</t>
        </is>
      </c>
      <c r="C951" s="10" t="n">
        <v>79</v>
      </c>
      <c r="D951" s="8" t="inlineStr">
        <is>
          <t>Ford Transit 350</t>
        </is>
      </c>
      <c r="E951" s="8" t="inlineStr">
        <is>
          <t>Richard Garcia</t>
        </is>
      </c>
      <c r="F951" s="8" t="inlineStr">
        <is>
          <t>richard@hendersontourstransitllc.com</t>
        </is>
      </c>
      <c r="G951" s="8" t="inlineStr">
        <is>
          <t>702-555-1058</t>
        </is>
      </c>
      <c r="H951" s="9" t="inlineStr">
        <is>
          <t>DOT30971</t>
        </is>
      </c>
      <c r="I951" s="11" t="n">
        <v>0.217</v>
      </c>
      <c r="J951" s="8" t="inlineStr">
        <is>
          <t>Transit 114°F Electrical Module Overheat Wire Ground Fire Risk</t>
        </is>
      </c>
      <c r="K951" s="9" t="inlineStr">
        <is>
          <t>Audit Run</t>
        </is>
      </c>
      <c r="L951" s="12">
        <f>IF(C951&gt;0, 99 + (C951 * 2.5), 0)</f>
        <v/>
      </c>
    </row>
    <row r="952">
      <c r="A952" s="13" t="inlineStr">
        <is>
          <t>Silver State Logistics LLC</t>
        </is>
      </c>
      <c r="B952" s="14" t="inlineStr">
        <is>
          <t>Boutique Transit</t>
        </is>
      </c>
      <c r="C952" s="15" t="n">
        <v>144</v>
      </c>
      <c r="D952" s="13" t="inlineStr">
        <is>
          <t>Ford Transit 350</t>
        </is>
      </c>
      <c r="E952" s="13" t="inlineStr">
        <is>
          <t>Charles Martinez</t>
        </is>
      </c>
      <c r="F952" s="13" t="inlineStr">
        <is>
          <t>charles@silverstatelogisticsllc.com</t>
        </is>
      </c>
      <c r="G952" s="13" t="inlineStr">
        <is>
          <t>702-555-4609</t>
        </is>
      </c>
      <c r="H952" s="14" t="inlineStr">
        <is>
          <t>DOT48844</t>
        </is>
      </c>
      <c r="I952" s="16" t="n">
        <v>0.26</v>
      </c>
      <c r="J952" s="13" t="inlineStr">
        <is>
          <t>Transit 114°F Electrical Module Overheat Wire Ground Fire Risk</t>
        </is>
      </c>
      <c r="K952" s="14" t="inlineStr">
        <is>
          <t>Audit Run</t>
        </is>
      </c>
      <c r="L952" s="17">
        <f>IF(C952&gt;0, 99 + (C952 * 2.5), 0)</f>
        <v/>
      </c>
    </row>
    <row r="953">
      <c r="A953" s="8" t="inlineStr">
        <is>
          <t>Red Rock Plumbing &amp; Drain Inc</t>
        </is>
      </c>
      <c r="B953" s="9" t="inlineStr">
        <is>
          <t>HVAC/Plumbing</t>
        </is>
      </c>
      <c r="C953" s="10" t="n">
        <v>70</v>
      </c>
      <c r="D953" s="8" t="inlineStr">
        <is>
          <t>Chevy Express 2500</t>
        </is>
      </c>
      <c r="E953" s="8" t="inlineStr">
        <is>
          <t>Christopher Johnson</t>
        </is>
      </c>
      <c r="F953" s="8" t="inlineStr">
        <is>
          <t>christopher@redrockplumbingdraininc.com</t>
        </is>
      </c>
      <c r="G953" s="8" t="inlineStr">
        <is>
          <t>702-555-3427</t>
        </is>
      </c>
      <c r="H953" s="9" t="inlineStr">
        <is>
          <t>DOT46406</t>
        </is>
      </c>
      <c r="I953" s="11" t="n">
        <v>0.327</v>
      </c>
      <c r="J953" s="8" t="inlineStr">
        <is>
          <t>Express Engine Bay Hose Thermal Crack Hazard</t>
        </is>
      </c>
      <c r="K953" s="9" t="inlineStr">
        <is>
          <t>Warm Prospect</t>
        </is>
      </c>
      <c r="L953" s="12">
        <f>IF(C953&gt;0, 99 + (C953 * 2.5), 0)</f>
        <v/>
      </c>
    </row>
    <row r="954">
      <c r="A954" s="13" t="inlineStr">
        <is>
          <t>Vegas Valley Plumbing &amp; Drain Inc</t>
        </is>
      </c>
      <c r="B954" s="14" t="inlineStr">
        <is>
          <t>HVAC/Plumbing</t>
        </is>
      </c>
      <c r="C954" s="15" t="n">
        <v>39</v>
      </c>
      <c r="D954" s="13" t="inlineStr">
        <is>
          <t>Chevy Express 2500</t>
        </is>
      </c>
      <c r="E954" s="13" t="inlineStr">
        <is>
          <t>John Lopez</t>
        </is>
      </c>
      <c r="F954" s="13" t="inlineStr">
        <is>
          <t>john@vegasvalleyplumbingdraininc.com</t>
        </is>
      </c>
      <c r="G954" s="13" t="inlineStr">
        <is>
          <t>702-555-7047</t>
        </is>
      </c>
      <c r="H954" s="14" t="inlineStr">
        <is>
          <t>DOT52540</t>
        </is>
      </c>
      <c r="I954" s="16" t="n">
        <v>0.066</v>
      </c>
      <c r="J954" s="13" t="inlineStr">
        <is>
          <t>Express Engine Bay Hose Thermal Crack Hazard</t>
        </is>
      </c>
      <c r="K954" s="14" t="inlineStr">
        <is>
          <t>Audit Run</t>
        </is>
      </c>
      <c r="L954" s="17">
        <f>IF(C954&gt;0, 99 + (C954 * 2.5), 0)</f>
        <v/>
      </c>
    </row>
    <row r="955">
      <c r="A955" s="8" t="inlineStr">
        <is>
          <t>Clark County Power Systems LLC</t>
        </is>
      </c>
      <c r="B955" s="9" t="inlineStr">
        <is>
          <t>Electrical Services</t>
        </is>
      </c>
      <c r="C955" s="10" t="n">
        <v>93</v>
      </c>
      <c r="D955" s="8" t="inlineStr">
        <is>
          <t>Ram ProMaster 2500</t>
        </is>
      </c>
      <c r="E955" s="8" t="inlineStr">
        <is>
          <t>Michael Smith</t>
        </is>
      </c>
      <c r="F955" s="8" t="inlineStr">
        <is>
          <t>michael@clarkcountypowersystemsllc.com</t>
        </is>
      </c>
      <c r="G955" s="8" t="inlineStr">
        <is>
          <t>702-555-6824</t>
        </is>
      </c>
      <c r="H955" s="9" t="inlineStr">
        <is>
          <t>DOT38741</t>
        </is>
      </c>
      <c r="I955" s="11" t="n">
        <v>0.266</v>
      </c>
      <c r="J955" s="8" t="inlineStr">
        <is>
          <t>ProMaster Brake Line Rubbing Collision Abrasion Leak</t>
        </is>
      </c>
      <c r="K955" s="9" t="inlineStr">
        <is>
          <t>Warm Prospect</t>
        </is>
      </c>
      <c r="L955" s="12">
        <f>IF(C955&gt;0, 99 + (C955 * 2.5), 0)</f>
        <v/>
      </c>
    </row>
    <row r="956">
      <c r="A956" s="13" t="inlineStr">
        <is>
          <t>Mojave Air Conditioning Group</t>
        </is>
      </c>
      <c r="B956" s="14" t="inlineStr">
        <is>
          <t>HVAC/Plumbing</t>
        </is>
      </c>
      <c r="C956" s="15" t="n">
        <v>37</v>
      </c>
      <c r="D956" s="13" t="inlineStr">
        <is>
          <t>Chevy Express 2500</t>
        </is>
      </c>
      <c r="E956" s="13" t="inlineStr">
        <is>
          <t>Anthony Rodriguez</t>
        </is>
      </c>
      <c r="F956" s="13" t="inlineStr">
        <is>
          <t>anthony@mojaveairconditioninggroup.com</t>
        </is>
      </c>
      <c r="G956" s="13" t="inlineStr">
        <is>
          <t>702-555-4377</t>
        </is>
      </c>
      <c r="H956" s="14" t="inlineStr">
        <is>
          <t>DOT67958</t>
        </is>
      </c>
      <c r="I956" s="16" t="n">
        <v>0.108</v>
      </c>
      <c r="J956" s="13" t="inlineStr">
        <is>
          <t>Express Engine Bay Hose Thermal Crack Hazard</t>
        </is>
      </c>
      <c r="K956" s="14" t="inlineStr">
        <is>
          <t>Warm Prospect</t>
        </is>
      </c>
      <c r="L956" s="17">
        <f>IF(C956&gt;0, 99 + (C956 * 2.5), 0)</f>
        <v/>
      </c>
    </row>
    <row r="957">
      <c r="A957" s="8" t="inlineStr">
        <is>
          <t>Las Vegas Mechanical Services LLC</t>
        </is>
      </c>
      <c r="B957" s="9" t="inlineStr">
        <is>
          <t>HVAC/Plumbing</t>
        </is>
      </c>
      <c r="C957" s="10" t="n">
        <v>124</v>
      </c>
      <c r="D957" s="8" t="inlineStr">
        <is>
          <t>Ford Transit 350</t>
        </is>
      </c>
      <c r="E957" s="8" t="inlineStr">
        <is>
          <t>Thomas Wilson</t>
        </is>
      </c>
      <c r="F957" s="8" t="inlineStr">
        <is>
          <t>thomas@lasvegasmechanicalservicesllc.com</t>
        </is>
      </c>
      <c r="G957" s="8" t="inlineStr">
        <is>
          <t>702-555-7039</t>
        </is>
      </c>
      <c r="H957" s="9" t="inlineStr">
        <is>
          <t>DOT29442</t>
        </is>
      </c>
      <c r="I957" s="11" t="n">
        <v>0.32</v>
      </c>
      <c r="J957" s="8" t="inlineStr">
        <is>
          <t>Transit 114°F Electrical Module Overheat Wire Ground Fire Risk</t>
        </is>
      </c>
      <c r="K957" s="9" t="inlineStr">
        <is>
          <t>Warm Prospect</t>
        </is>
      </c>
      <c r="L957" s="12">
        <f>IF(C957&gt;0, 99 + (C957 * 2.5), 0)</f>
        <v/>
      </c>
    </row>
    <row r="958">
      <c r="A958" s="13" t="inlineStr">
        <is>
          <t>Red Rock Wiring Solutions Inc</t>
        </is>
      </c>
      <c r="B958" s="14" t="inlineStr">
        <is>
          <t>Electrical Services</t>
        </is>
      </c>
      <c r="C958" s="15" t="n">
        <v>58</v>
      </c>
      <c r="D958" s="13" t="inlineStr">
        <is>
          <t>Chevy Express 3500</t>
        </is>
      </c>
      <c r="E958" s="13" t="inlineStr">
        <is>
          <t>Joshua Thomas</t>
        </is>
      </c>
      <c r="F958" s="13" t="inlineStr">
        <is>
          <t>joshua@redrockwiringsolutionsinc.com</t>
        </is>
      </c>
      <c r="G958" s="13" t="inlineStr">
        <is>
          <t>702-555-3955</t>
        </is>
      </c>
      <c r="H958" s="14" t="inlineStr">
        <is>
          <t>DOT94877</t>
        </is>
      </c>
      <c r="I958" s="16" t="n">
        <v>0.127</v>
      </c>
      <c r="J958" s="13" t="inlineStr">
        <is>
          <t>Express Engine Bay Hose Thermal Crack Hazard</t>
        </is>
      </c>
      <c r="K958" s="14" t="inlineStr">
        <is>
          <t>Warm Prospect</t>
        </is>
      </c>
      <c r="L958" s="17">
        <f>IF(C958&gt;0, 99 + (C958 * 2.5), 0)</f>
        <v/>
      </c>
    </row>
    <row r="959">
      <c r="A959" s="8" t="inlineStr">
        <is>
          <t>Spring Valley Plumbing &amp; Drain LLC</t>
        </is>
      </c>
      <c r="B959" s="9" t="inlineStr">
        <is>
          <t>HVAC/Plumbing</t>
        </is>
      </c>
      <c r="C959" s="10" t="n">
        <v>58</v>
      </c>
      <c r="D959" s="8" t="inlineStr">
        <is>
          <t>Chevy Express 2500</t>
        </is>
      </c>
      <c r="E959" s="8" t="inlineStr">
        <is>
          <t>James Jones</t>
        </is>
      </c>
      <c r="F959" s="8" t="inlineStr">
        <is>
          <t>james@springvalleyplumbingdrainllc.com</t>
        </is>
      </c>
      <c r="G959" s="8" t="inlineStr">
        <is>
          <t>702-555-2180</t>
        </is>
      </c>
      <c r="H959" s="9" t="inlineStr">
        <is>
          <t>DOT65888</t>
        </is>
      </c>
      <c r="I959" s="11" t="n">
        <v>0.116</v>
      </c>
      <c r="J959" s="8" t="inlineStr">
        <is>
          <t>Express Engine Bay Hose Thermal Crack Hazard</t>
        </is>
      </c>
      <c r="K959" s="9" t="inlineStr">
        <is>
          <t>Warm Prospect</t>
        </is>
      </c>
      <c r="L959" s="12">
        <f>IF(C959&gt;0, 99 + (C959 * 2.5), 0)</f>
        <v/>
      </c>
    </row>
    <row r="960">
      <c r="A960" s="13" t="inlineStr">
        <is>
          <t>Clark County Plumbing Experts Inc</t>
        </is>
      </c>
      <c r="B960" s="14" t="inlineStr">
        <is>
          <t>HVAC/Plumbing</t>
        </is>
      </c>
      <c r="C960" s="15" t="n">
        <v>35</v>
      </c>
      <c r="D960" s="13" t="inlineStr">
        <is>
          <t>Ford Transit 250</t>
        </is>
      </c>
      <c r="E960" s="13" t="inlineStr">
        <is>
          <t>Anthony Gonzalez</t>
        </is>
      </c>
      <c r="F960" s="13" t="inlineStr">
        <is>
          <t>anthony@clarkcountyplumbingexpertsinc.com</t>
        </is>
      </c>
      <c r="G960" s="13" t="inlineStr">
        <is>
          <t>702-555-1339</t>
        </is>
      </c>
      <c r="H960" s="14" t="inlineStr">
        <is>
          <t>DOT24422</t>
        </is>
      </c>
      <c r="I960" s="16" t="n">
        <v>0.296</v>
      </c>
      <c r="J960" s="13" t="inlineStr">
        <is>
          <t>Transit 114°F Electrical Module Overheat Wire Ground Fire Risk</t>
        </is>
      </c>
      <c r="K960" s="14" t="inlineStr">
        <is>
          <t>Warm Prospect</t>
        </is>
      </c>
      <c r="L960" s="17">
        <f>IF(C960&gt;0, 99 + (C960 * 2.5), 0)</f>
        <v/>
      </c>
    </row>
    <row r="961">
      <c r="A961" s="8" t="inlineStr">
        <is>
          <t>Sunset Air Conditioning LLC</t>
        </is>
      </c>
      <c r="B961" s="9" t="inlineStr">
        <is>
          <t>HVAC/Plumbing</t>
        </is>
      </c>
      <c r="C961" s="10" t="n">
        <v>13</v>
      </c>
      <c r="D961" s="8" t="inlineStr">
        <is>
          <t>Ford Transit 350</t>
        </is>
      </c>
      <c r="E961" s="8" t="inlineStr">
        <is>
          <t>John Brown</t>
        </is>
      </c>
      <c r="F961" s="8" t="inlineStr">
        <is>
          <t>john@sunsetairconditioningllc.com</t>
        </is>
      </c>
      <c r="G961" s="8" t="inlineStr">
        <is>
          <t>702-555-9886</t>
        </is>
      </c>
      <c r="H961" s="9" t="inlineStr">
        <is>
          <t>DOT54353</t>
        </is>
      </c>
      <c r="I961" s="11" t="n">
        <v>0.304</v>
      </c>
      <c r="J961" s="8" t="inlineStr">
        <is>
          <t>Transit 114°F Electrical Module Overheat Wire Ground Fire Risk</t>
        </is>
      </c>
      <c r="K961" s="9" t="inlineStr">
        <is>
          <t>Warm Prospect</t>
        </is>
      </c>
      <c r="L961" s="12">
        <f>IF(C961&gt;0, 99 + (C961 * 2.5), 0)</f>
        <v/>
      </c>
    </row>
    <row r="962">
      <c r="A962" s="13" t="inlineStr">
        <is>
          <t>Red Rock Comfort Heating Group</t>
        </is>
      </c>
      <c r="B962" s="14" t="inlineStr">
        <is>
          <t>HVAC/Plumbing</t>
        </is>
      </c>
      <c r="C962" s="15" t="n">
        <v>51</v>
      </c>
      <c r="D962" s="13" t="inlineStr">
        <is>
          <t>GMC Savana 2500</t>
        </is>
      </c>
      <c r="E962" s="13" t="inlineStr">
        <is>
          <t>Christopher Hernandez</t>
        </is>
      </c>
      <c r="F962" s="13" t="inlineStr">
        <is>
          <t>christopher@redrockcomfortheatinggroup.com</t>
        </is>
      </c>
      <c r="G962" s="13" t="inlineStr">
        <is>
          <t>702-555-8846</t>
        </is>
      </c>
      <c r="H962" s="14" t="inlineStr">
        <is>
          <t>DOT30252</t>
        </is>
      </c>
      <c r="I962" s="16" t="n">
        <v>0.116</v>
      </c>
      <c r="J962" s="13" t="inlineStr">
        <is>
          <t>Savana Desert Fuel Line Seal Degradation Failure</t>
        </is>
      </c>
      <c r="K962" s="14" t="inlineStr">
        <is>
          <t>Audit Run</t>
        </is>
      </c>
      <c r="L962" s="17">
        <f>IF(C962&gt;0, 99 + (C962 * 2.5), 0)</f>
        <v/>
      </c>
    </row>
    <row r="963">
      <c r="A963" s="8" t="inlineStr">
        <is>
          <t>Mojave Charter Buses Group</t>
        </is>
      </c>
      <c r="B963" s="9" t="inlineStr">
        <is>
          <t>Boutique Transit</t>
        </is>
      </c>
      <c r="C963" s="10" t="n">
        <v>15</v>
      </c>
      <c r="D963" s="8" t="inlineStr">
        <is>
          <t>Mercedes-Benz Sprinter 2500</t>
        </is>
      </c>
      <c r="E963" s="8" t="inlineStr">
        <is>
          <t>Michael Brown</t>
        </is>
      </c>
      <c r="F963" s="8" t="inlineStr">
        <is>
          <t>michael@mojavecharterbusesgroup.com</t>
        </is>
      </c>
      <c r="G963" s="8" t="inlineStr">
        <is>
          <t>702-555-9923</t>
        </is>
      </c>
      <c r="H963" s="9" t="inlineStr">
        <is>
          <t>DOT48894</t>
        </is>
      </c>
      <c r="I963" s="11" t="n">
        <v>0.07199999999999999</v>
      </c>
      <c r="J963" s="8" t="inlineStr">
        <is>
          <t>Sprinter AC Comp Condensation Drain Backup Wiring Short</t>
        </is>
      </c>
      <c r="K963" s="9" t="inlineStr">
        <is>
          <t>Warm Prospect</t>
        </is>
      </c>
      <c r="L963" s="12">
        <f>IF(C963&gt;0, 99 + (C963 * 2.5), 0)</f>
        <v/>
      </c>
    </row>
    <row r="964">
      <c r="A964" s="13" t="inlineStr">
        <is>
          <t>Silver State Plumbing &amp; Drain Inc</t>
        </is>
      </c>
      <c r="B964" s="14" t="inlineStr">
        <is>
          <t>HVAC/Plumbing</t>
        </is>
      </c>
      <c r="C964" s="15" t="n">
        <v>119</v>
      </c>
      <c r="D964" s="13" t="inlineStr">
        <is>
          <t>Ford Transit 350</t>
        </is>
      </c>
      <c r="E964" s="13" t="inlineStr">
        <is>
          <t>Anthony Jones</t>
        </is>
      </c>
      <c r="F964" s="13" t="inlineStr">
        <is>
          <t>anthony@silverstateplumbingdraininc.com</t>
        </is>
      </c>
      <c r="G964" s="13" t="inlineStr">
        <is>
          <t>702-555-6788</t>
        </is>
      </c>
      <c r="H964" s="14" t="inlineStr">
        <is>
          <t>DOT95899</t>
        </is>
      </c>
      <c r="I964" s="16" t="n">
        <v>0.129</v>
      </c>
      <c r="J964" s="13" t="inlineStr">
        <is>
          <t>Transit 114°F Electrical Module Overheat Wire Ground Fire Risk</t>
        </is>
      </c>
      <c r="K964" s="14" t="inlineStr">
        <is>
          <t>Warm Prospect</t>
        </is>
      </c>
      <c r="L964" s="17">
        <f>IF(C964&gt;0, 99 + (C964 * 2.5), 0)</f>
        <v/>
      </c>
    </row>
    <row r="965">
      <c r="A965" s="8" t="inlineStr">
        <is>
          <t>Spring Valley Charter Buses Inc</t>
        </is>
      </c>
      <c r="B965" s="9" t="inlineStr">
        <is>
          <t>Boutique Transit</t>
        </is>
      </c>
      <c r="C965" s="10" t="n">
        <v>53</v>
      </c>
      <c r="D965" s="8" t="inlineStr">
        <is>
          <t>Mercedes-Benz Sprinter 3500</t>
        </is>
      </c>
      <c r="E965" s="8" t="inlineStr">
        <is>
          <t>Robert Davis</t>
        </is>
      </c>
      <c r="F965" s="8" t="inlineStr">
        <is>
          <t>robert@springvalleycharterbusesinc.com</t>
        </is>
      </c>
      <c r="G965" s="8" t="inlineStr">
        <is>
          <t>702-555-2666</t>
        </is>
      </c>
      <c r="H965" s="9" t="inlineStr">
        <is>
          <t>DOT46937</t>
        </is>
      </c>
      <c r="I965" s="11" t="n">
        <v>0.151</v>
      </c>
      <c r="J965" s="8" t="inlineStr">
        <is>
          <t>Sprinter AC Comp Condensation Drain Backup Wiring Short</t>
        </is>
      </c>
      <c r="K965" s="9" t="inlineStr">
        <is>
          <t>Audit Run</t>
        </is>
      </c>
      <c r="L965" s="12">
        <f>IF(C965&gt;0, 99 + (C965 * 2.5), 0)</f>
        <v/>
      </c>
    </row>
    <row r="966">
      <c r="A966" s="13" t="inlineStr">
        <is>
          <t>Apex Electrical Contractors Inc</t>
        </is>
      </c>
      <c r="B966" s="14" t="inlineStr">
        <is>
          <t>Electrical Services</t>
        </is>
      </c>
      <c r="C966" s="15" t="n">
        <v>48</v>
      </c>
      <c r="D966" s="13" t="inlineStr">
        <is>
          <t>Chevy Express 2500</t>
        </is>
      </c>
      <c r="E966" s="13" t="inlineStr">
        <is>
          <t>William Wilson</t>
        </is>
      </c>
      <c r="F966" s="13" t="inlineStr">
        <is>
          <t>william@apexelectricalcontractorsinc.com</t>
        </is>
      </c>
      <c r="G966" s="13" t="inlineStr">
        <is>
          <t>702-555-9691</t>
        </is>
      </c>
      <c r="H966" s="14" t="inlineStr">
        <is>
          <t>DOT53888</t>
        </is>
      </c>
      <c r="I966" s="16" t="n">
        <v>0.226</v>
      </c>
      <c r="J966" s="13" t="inlineStr">
        <is>
          <t>Express Engine Bay Hose Thermal Crack Hazard</t>
        </is>
      </c>
      <c r="K966" s="14" t="inlineStr">
        <is>
          <t>Warm Prospect</t>
        </is>
      </c>
      <c r="L966" s="17">
        <f>IF(C966&gt;0, 99 + (C966 * 2.5), 0)</f>
        <v/>
      </c>
    </row>
    <row r="967">
      <c r="A967" s="8" t="inlineStr">
        <is>
          <t>Spring Valley Mechanical Services Group</t>
        </is>
      </c>
      <c r="B967" s="9" t="inlineStr">
        <is>
          <t>HVAC/Plumbing</t>
        </is>
      </c>
      <c r="C967" s="10" t="n">
        <v>83</v>
      </c>
      <c r="D967" s="8" t="inlineStr">
        <is>
          <t>Ford Transit 150</t>
        </is>
      </c>
      <c r="E967" s="8" t="inlineStr">
        <is>
          <t>Matthew Brown</t>
        </is>
      </c>
      <c r="F967" s="8" t="inlineStr">
        <is>
          <t>matthew@springvalleymechanicalservicesgroup.com</t>
        </is>
      </c>
      <c r="G967" s="8" t="inlineStr">
        <is>
          <t>702-555-5441</t>
        </is>
      </c>
      <c r="H967" s="9" t="inlineStr">
        <is>
          <t>DOT75437</t>
        </is>
      </c>
      <c r="I967" s="11" t="n">
        <v>0.245</v>
      </c>
      <c r="J967" s="8" t="inlineStr">
        <is>
          <t>Transit 114°F Electrical Module Overheat Wire Ground Fire Risk</t>
        </is>
      </c>
      <c r="K967" s="9" t="inlineStr">
        <is>
          <t>Warm Prospect</t>
        </is>
      </c>
      <c r="L967" s="12">
        <f>IF(C967&gt;0, 99 + (C967 * 2.5), 0)</f>
        <v/>
      </c>
    </row>
    <row r="968">
      <c r="A968" s="13" t="inlineStr">
        <is>
          <t>Henderson Shuttles Inc</t>
        </is>
      </c>
      <c r="B968" s="14" t="inlineStr">
        <is>
          <t>Boutique Transit</t>
        </is>
      </c>
      <c r="C968" s="15" t="n">
        <v>47</v>
      </c>
      <c r="D968" s="13" t="inlineStr">
        <is>
          <t>Mercedes-Benz Sprinter 2500</t>
        </is>
      </c>
      <c r="E968" s="13" t="inlineStr">
        <is>
          <t>Daniel Jones</t>
        </is>
      </c>
      <c r="F968" s="13" t="inlineStr">
        <is>
          <t>daniel@hendersonshuttlesinc.com</t>
        </is>
      </c>
      <c r="G968" s="13" t="inlineStr">
        <is>
          <t>702-555-7399</t>
        </is>
      </c>
      <c r="H968" s="14" t="inlineStr">
        <is>
          <t>DOT68549</t>
        </is>
      </c>
      <c r="I968" s="16" t="n">
        <v>0.264</v>
      </c>
      <c r="J968" s="13" t="inlineStr">
        <is>
          <t>Sprinter AC Comp Condensation Drain Backup Wiring Short</t>
        </is>
      </c>
      <c r="K968" s="14" t="inlineStr">
        <is>
          <t>Warm Prospect</t>
        </is>
      </c>
      <c r="L968" s="17">
        <f>IF(C968&gt;0, 99 + (C968 * 2.5), 0)</f>
        <v/>
      </c>
    </row>
    <row r="969">
      <c r="A969" s="8" t="inlineStr">
        <is>
          <t>Apex Plumbing Experts LLC</t>
        </is>
      </c>
      <c r="B969" s="9" t="inlineStr">
        <is>
          <t>HVAC/Plumbing</t>
        </is>
      </c>
      <c r="C969" s="10" t="n">
        <v>47</v>
      </c>
      <c r="D969" s="8" t="inlineStr">
        <is>
          <t>Ford Transit 150</t>
        </is>
      </c>
      <c r="E969" s="8" t="inlineStr">
        <is>
          <t>James Hernandez</t>
        </is>
      </c>
      <c r="F969" s="8" t="inlineStr">
        <is>
          <t>james@apexplumbingexpertsllc.com</t>
        </is>
      </c>
      <c r="G969" s="8" t="inlineStr">
        <is>
          <t>702-555-3089</t>
        </is>
      </c>
      <c r="H969" s="9" t="inlineStr">
        <is>
          <t>DOT33838</t>
        </is>
      </c>
      <c r="I969" s="11" t="n">
        <v>0.278</v>
      </c>
      <c r="J969" s="8" t="inlineStr">
        <is>
          <t>Transit 114°F Electrical Module Overheat Wire Ground Fire Risk</t>
        </is>
      </c>
      <c r="K969" s="9" t="inlineStr">
        <is>
          <t>Warm Prospect</t>
        </is>
      </c>
      <c r="L969" s="12">
        <f>IF(C969&gt;0, 99 + (C969 * 2.5), 0)</f>
        <v/>
      </c>
    </row>
    <row r="970">
      <c r="A970" s="13" t="inlineStr">
        <is>
          <t>First Choice Wiring Solutions LLC</t>
        </is>
      </c>
      <c r="B970" s="14" t="inlineStr">
        <is>
          <t>Electrical Services</t>
        </is>
      </c>
      <c r="C970" s="15" t="n">
        <v>95</v>
      </c>
      <c r="D970" s="13" t="inlineStr">
        <is>
          <t>Ram ProMaster 1500</t>
        </is>
      </c>
      <c r="E970" s="13" t="inlineStr">
        <is>
          <t>David Davis</t>
        </is>
      </c>
      <c r="F970" s="13" t="inlineStr">
        <is>
          <t>david@firstchoicewiringsolutionsllc.com</t>
        </is>
      </c>
      <c r="G970" s="13" t="inlineStr">
        <is>
          <t>702-555-7278</t>
        </is>
      </c>
      <c r="H970" s="14" t="inlineStr">
        <is>
          <t>DOT64874</t>
        </is>
      </c>
      <c r="I970" s="16" t="n">
        <v>0.21</v>
      </c>
      <c r="J970" s="13" t="inlineStr">
        <is>
          <t>ProMaster Brake Line Rubbing Collision Abrasion Leak</t>
        </is>
      </c>
      <c r="K970" s="14" t="inlineStr">
        <is>
          <t>Audit Run</t>
        </is>
      </c>
      <c r="L970" s="17">
        <f>IF(C970&gt;0, 99 + (C970 * 2.5), 0)</f>
        <v/>
      </c>
    </row>
    <row r="971">
      <c r="A971" s="8" t="inlineStr">
        <is>
          <t>First Choice Logistics Group</t>
        </is>
      </c>
      <c r="B971" s="9" t="inlineStr">
        <is>
          <t>Boutique Transit</t>
        </is>
      </c>
      <c r="C971" s="10" t="n">
        <v>108</v>
      </c>
      <c r="D971" s="8" t="inlineStr">
        <is>
          <t>Mercedes-Benz Sprinter 2500</t>
        </is>
      </c>
      <c r="E971" s="8" t="inlineStr">
        <is>
          <t>James Jackson</t>
        </is>
      </c>
      <c r="F971" s="8" t="inlineStr">
        <is>
          <t>james@firstchoicelogisticsgroup.com</t>
        </is>
      </c>
      <c r="G971" s="8" t="inlineStr">
        <is>
          <t>702-555-7911</t>
        </is>
      </c>
      <c r="H971" s="9" t="inlineStr">
        <is>
          <t>DOT79067</t>
        </is>
      </c>
      <c r="I971" s="11" t="n">
        <v>0.219</v>
      </c>
      <c r="J971" s="8" t="inlineStr">
        <is>
          <t>Sprinter AC Comp Condensation Drain Backup Wiring Short</t>
        </is>
      </c>
      <c r="K971" s="9" t="inlineStr">
        <is>
          <t>Warm Prospect</t>
        </is>
      </c>
      <c r="L971" s="12">
        <f>IF(C971&gt;0, 99 + (C971 * 2.5), 0)</f>
        <v/>
      </c>
    </row>
    <row r="972">
      <c r="A972" s="13" t="inlineStr">
        <is>
          <t>Apex Airport Express LLC</t>
        </is>
      </c>
      <c r="B972" s="14" t="inlineStr">
        <is>
          <t>Boutique Transit</t>
        </is>
      </c>
      <c r="C972" s="15" t="n">
        <v>62</v>
      </c>
      <c r="D972" s="13" t="inlineStr">
        <is>
          <t>Mercedes-Benz Sprinter 2500</t>
        </is>
      </c>
      <c r="E972" s="13" t="inlineStr">
        <is>
          <t>John Lopez</t>
        </is>
      </c>
      <c r="F972" s="13" t="inlineStr">
        <is>
          <t>john@apexairportexpressllc.com</t>
        </is>
      </c>
      <c r="G972" s="13" t="inlineStr">
        <is>
          <t>702-555-8764</t>
        </is>
      </c>
      <c r="H972" s="14" t="inlineStr">
        <is>
          <t>DOT27510</t>
        </is>
      </c>
      <c r="I972" s="16" t="n">
        <v>0.325</v>
      </c>
      <c r="J972" s="13" t="inlineStr">
        <is>
          <t>Sprinter AC Comp Condensation Drain Backup Wiring Short</t>
        </is>
      </c>
      <c r="K972" s="14" t="inlineStr">
        <is>
          <t>Warm Prospect</t>
        </is>
      </c>
      <c r="L972" s="17">
        <f>IF(C972&gt;0, 99 + (C972 * 2.5), 0)</f>
        <v/>
      </c>
    </row>
    <row r="973">
      <c r="A973" s="8" t="inlineStr">
        <is>
          <t>Valley Power Systems LLC</t>
        </is>
      </c>
      <c r="B973" s="9" t="inlineStr">
        <is>
          <t>Electrical Services</t>
        </is>
      </c>
      <c r="C973" s="10" t="n">
        <v>46</v>
      </c>
      <c r="D973" s="8" t="inlineStr">
        <is>
          <t>Ram ProMaster 1500</t>
        </is>
      </c>
      <c r="E973" s="8" t="inlineStr">
        <is>
          <t>Andrew Wilson</t>
        </is>
      </c>
      <c r="F973" s="8" t="inlineStr">
        <is>
          <t>andrew@valleypowersystemsllc.com</t>
        </is>
      </c>
      <c r="G973" s="8" t="inlineStr">
        <is>
          <t>702-555-4973</t>
        </is>
      </c>
      <c r="H973" s="9" t="inlineStr">
        <is>
          <t>DOT37621</t>
        </is>
      </c>
      <c r="I973" s="11" t="n">
        <v>0.297</v>
      </c>
      <c r="J973" s="8" t="inlineStr">
        <is>
          <t>ProMaster Brake Line Rubbing Collision Abrasion Leak</t>
        </is>
      </c>
      <c r="K973" s="9" t="inlineStr">
        <is>
          <t>Warm Prospect</t>
        </is>
      </c>
      <c r="L973" s="12">
        <f>IF(C973&gt;0, 99 + (C973 * 2.5), 0)</f>
        <v/>
      </c>
    </row>
    <row r="974">
      <c r="A974" s="13" t="inlineStr">
        <is>
          <t>Red Rock Shuttles Group</t>
        </is>
      </c>
      <c r="B974" s="14" t="inlineStr">
        <is>
          <t>Boutique Transit</t>
        </is>
      </c>
      <c r="C974" s="15" t="n">
        <v>46</v>
      </c>
      <c r="D974" s="13" t="inlineStr">
        <is>
          <t>Ford Transit 350</t>
        </is>
      </c>
      <c r="E974" s="13" t="inlineStr">
        <is>
          <t>Anthony Smith</t>
        </is>
      </c>
      <c r="F974" s="13" t="inlineStr">
        <is>
          <t>anthony@redrockshuttlesgroup.com</t>
        </is>
      </c>
      <c r="G974" s="13" t="inlineStr">
        <is>
          <t>702-555-7958</t>
        </is>
      </c>
      <c r="H974" s="14" t="inlineStr">
        <is>
          <t>DOT58717</t>
        </is>
      </c>
      <c r="I974" s="16" t="n">
        <v>0.057</v>
      </c>
      <c r="J974" s="13" t="inlineStr">
        <is>
          <t>Transit 114°F Electrical Module Overheat Wire Ground Fire Risk</t>
        </is>
      </c>
      <c r="K974" s="14" t="inlineStr">
        <is>
          <t>Warm Prospect</t>
        </is>
      </c>
      <c r="L974" s="17">
        <f>IF(C974&gt;0, 99 + (C974 * 2.5), 0)</f>
        <v/>
      </c>
    </row>
    <row r="975">
      <c r="A975" s="8" t="inlineStr">
        <is>
          <t>Las Vegas Shuttles LLC</t>
        </is>
      </c>
      <c r="B975" s="9" t="inlineStr">
        <is>
          <t>Boutique Transit</t>
        </is>
      </c>
      <c r="C975" s="10" t="n">
        <v>50</v>
      </c>
      <c r="D975" s="8" t="inlineStr">
        <is>
          <t>Ford Transit 350</t>
        </is>
      </c>
      <c r="E975" s="8" t="inlineStr">
        <is>
          <t>John Jones</t>
        </is>
      </c>
      <c r="F975" s="8" t="inlineStr">
        <is>
          <t>john@lasvegasshuttlesllc.com</t>
        </is>
      </c>
      <c r="G975" s="8" t="inlineStr">
        <is>
          <t>702-555-6984</t>
        </is>
      </c>
      <c r="H975" s="9" t="inlineStr">
        <is>
          <t>DOT28517</t>
        </is>
      </c>
      <c r="I975" s="11" t="n">
        <v>0.064</v>
      </c>
      <c r="J975" s="8" t="inlineStr">
        <is>
          <t>Transit 114°F Electrical Module Overheat Wire Ground Fire Risk</t>
        </is>
      </c>
      <c r="K975" s="9" t="inlineStr">
        <is>
          <t>Warm Prospect</t>
        </is>
      </c>
      <c r="L975" s="12">
        <f>IF(C975&gt;0, 99 + (C975 * 2.5), 0)</f>
        <v/>
      </c>
    </row>
    <row r="976">
      <c r="A976" s="13" t="inlineStr">
        <is>
          <t>Las Vegas Comfort Heating Inc</t>
        </is>
      </c>
      <c r="B976" s="14" t="inlineStr">
        <is>
          <t>HVAC/Plumbing</t>
        </is>
      </c>
      <c r="C976" s="15" t="n">
        <v>130</v>
      </c>
      <c r="D976" s="13" t="inlineStr">
        <is>
          <t>Ford Transit 350</t>
        </is>
      </c>
      <c r="E976" s="13" t="inlineStr">
        <is>
          <t>David Taylor</t>
        </is>
      </c>
      <c r="F976" s="13" t="inlineStr">
        <is>
          <t>david@lasvegascomfortheatinginc.com</t>
        </is>
      </c>
      <c r="G976" s="13" t="inlineStr">
        <is>
          <t>702-555-5907</t>
        </is>
      </c>
      <c r="H976" s="14" t="inlineStr">
        <is>
          <t>DOT71628</t>
        </is>
      </c>
      <c r="I976" s="16" t="n">
        <v>0.168</v>
      </c>
      <c r="J976" s="13" t="inlineStr">
        <is>
          <t>Transit 114°F Electrical Module Overheat Wire Ground Fire Risk</t>
        </is>
      </c>
      <c r="K976" s="14" t="inlineStr">
        <is>
          <t>Warm Prospect</t>
        </is>
      </c>
      <c r="L976" s="17">
        <f>IF(C976&gt;0, 99 + (C976 * 2.5), 0)</f>
        <v/>
      </c>
    </row>
    <row r="977">
      <c r="A977" s="8" t="inlineStr">
        <is>
          <t>Henderson Electric Pros Group</t>
        </is>
      </c>
      <c r="B977" s="9" t="inlineStr">
        <is>
          <t>Electrical Services</t>
        </is>
      </c>
      <c r="C977" s="10" t="n">
        <v>83</v>
      </c>
      <c r="D977" s="8" t="inlineStr">
        <is>
          <t>Chevy Express 2500</t>
        </is>
      </c>
      <c r="E977" s="8" t="inlineStr">
        <is>
          <t>Robert Jones</t>
        </is>
      </c>
      <c r="F977" s="8" t="inlineStr">
        <is>
          <t>robert@hendersonelectricprosgroup.com</t>
        </is>
      </c>
      <c r="G977" s="8" t="inlineStr">
        <is>
          <t>702-555-1983</t>
        </is>
      </c>
      <c r="H977" s="9" t="inlineStr">
        <is>
          <t>DOT94207</t>
        </is>
      </c>
      <c r="I977" s="11" t="n">
        <v>0.05</v>
      </c>
      <c r="J977" s="8" t="inlineStr">
        <is>
          <t>Express Engine Bay Hose Thermal Crack Hazard</t>
        </is>
      </c>
      <c r="K977" s="9" t="inlineStr">
        <is>
          <t>Warm Prospect</t>
        </is>
      </c>
      <c r="L977" s="12">
        <f>IF(C977&gt;0, 99 + (C977 * 2.5), 0)</f>
        <v/>
      </c>
    </row>
    <row r="978">
      <c r="A978" s="13" t="inlineStr">
        <is>
          <t>Red Rock Shuttles LLC</t>
        </is>
      </c>
      <c r="B978" s="14" t="inlineStr">
        <is>
          <t>Boutique Transit</t>
        </is>
      </c>
      <c r="C978" s="15" t="n">
        <v>126</v>
      </c>
      <c r="D978" s="13" t="inlineStr">
        <is>
          <t>Mercedes-Benz Sprinter 3500</t>
        </is>
      </c>
      <c r="E978" s="13" t="inlineStr">
        <is>
          <t>Andrew Rodriguez</t>
        </is>
      </c>
      <c r="F978" s="13" t="inlineStr">
        <is>
          <t>andrew@redrockshuttlesllc.com</t>
        </is>
      </c>
      <c r="G978" s="13" t="inlineStr">
        <is>
          <t>702-555-9222</t>
        </is>
      </c>
      <c r="H978" s="14" t="inlineStr">
        <is>
          <t>DOT50112</t>
        </is>
      </c>
      <c r="I978" s="16" t="n">
        <v>0.26</v>
      </c>
      <c r="J978" s="13" t="inlineStr">
        <is>
          <t>Sprinter AC Comp Condensation Drain Backup Wiring Short</t>
        </is>
      </c>
      <c r="K978" s="14" t="inlineStr">
        <is>
          <t>Warm Prospect</t>
        </is>
      </c>
      <c r="L978" s="17">
        <f>IF(C978&gt;0, 99 + (C978 * 2.5), 0)</f>
        <v/>
      </c>
    </row>
    <row r="979">
      <c r="A979" s="8" t="inlineStr">
        <is>
          <t>Mojave Air Conditioning Group</t>
        </is>
      </c>
      <c r="B979" s="9" t="inlineStr">
        <is>
          <t>HVAC/Plumbing</t>
        </is>
      </c>
      <c r="C979" s="10" t="n">
        <v>42</v>
      </c>
      <c r="D979" s="8" t="inlineStr">
        <is>
          <t>GMC Savana 2500</t>
        </is>
      </c>
      <c r="E979" s="8" t="inlineStr">
        <is>
          <t>Richard Gonzalez</t>
        </is>
      </c>
      <c r="F979" s="8" t="inlineStr">
        <is>
          <t>richard@mojaveairconditioninggroup.com</t>
        </is>
      </c>
      <c r="G979" s="8" t="inlineStr">
        <is>
          <t>702-555-1917</t>
        </is>
      </c>
      <c r="H979" s="9" t="inlineStr">
        <is>
          <t>DOT38692</t>
        </is>
      </c>
      <c r="I979" s="11" t="n">
        <v>0.162</v>
      </c>
      <c r="J979" s="8" t="inlineStr">
        <is>
          <t>Savana Desert Fuel Line Seal Degradation Failure</t>
        </is>
      </c>
      <c r="K979" s="9" t="inlineStr">
        <is>
          <t>Audit Run</t>
        </is>
      </c>
      <c r="L979" s="12">
        <f>IF(C979&gt;0, 99 + (C979 * 2.5), 0)</f>
        <v/>
      </c>
    </row>
    <row r="980">
      <c r="A980" s="13" t="inlineStr">
        <is>
          <t>Summerlin Shuttles Group</t>
        </is>
      </c>
      <c r="B980" s="14" t="inlineStr">
        <is>
          <t>Boutique Transit</t>
        </is>
      </c>
      <c r="C980" s="15" t="n">
        <v>132</v>
      </c>
      <c r="D980" s="13" t="inlineStr">
        <is>
          <t>Mercedes-Benz Sprinter 3500</t>
        </is>
      </c>
      <c r="E980" s="13" t="inlineStr">
        <is>
          <t>Daniel Gonzalez</t>
        </is>
      </c>
      <c r="F980" s="13" t="inlineStr">
        <is>
          <t>daniel@summerlinshuttlesgroup.com</t>
        </is>
      </c>
      <c r="G980" s="13" t="inlineStr">
        <is>
          <t>702-555-7233</t>
        </is>
      </c>
      <c r="H980" s="14" t="inlineStr">
        <is>
          <t>DOT31603</t>
        </is>
      </c>
      <c r="I980" s="16" t="n">
        <v>0.057</v>
      </c>
      <c r="J980" s="13" t="inlineStr">
        <is>
          <t>Sprinter AC Comp Condensation Drain Backup Wiring Short</t>
        </is>
      </c>
      <c r="K980" s="14" t="inlineStr">
        <is>
          <t>Warm Prospect</t>
        </is>
      </c>
      <c r="L980" s="17">
        <f>IF(C980&gt;0, 99 + (C980 * 2.5), 0)</f>
        <v/>
      </c>
    </row>
    <row r="981">
      <c r="A981" s="8" t="inlineStr">
        <is>
          <t>Titan Airport Express LLC</t>
        </is>
      </c>
      <c r="B981" s="9" t="inlineStr">
        <is>
          <t>Boutique Transit</t>
        </is>
      </c>
      <c r="C981" s="10" t="n">
        <v>36</v>
      </c>
      <c r="D981" s="8" t="inlineStr">
        <is>
          <t>Mercedes-Benz Sprinter 2500</t>
        </is>
      </c>
      <c r="E981" s="8" t="inlineStr">
        <is>
          <t>James Lopez</t>
        </is>
      </c>
      <c r="F981" s="8" t="inlineStr">
        <is>
          <t>james@titanairportexpressllc.com</t>
        </is>
      </c>
      <c r="G981" s="8" t="inlineStr">
        <is>
          <t>702-555-6496</t>
        </is>
      </c>
      <c r="H981" s="9" t="inlineStr">
        <is>
          <t>DOT13676</t>
        </is>
      </c>
      <c r="I981" s="11" t="n">
        <v>0.114</v>
      </c>
      <c r="J981" s="8" t="inlineStr">
        <is>
          <t>Sprinter AC Comp Condensation Drain Backup Wiring Short</t>
        </is>
      </c>
      <c r="K981" s="9" t="inlineStr">
        <is>
          <t>Warm Prospect</t>
        </is>
      </c>
      <c r="L981" s="12">
        <f>IF(C981&gt;0, 99 + (C981 * 2.5), 0)</f>
        <v/>
      </c>
    </row>
    <row r="982">
      <c r="A982" s="13" t="inlineStr">
        <is>
          <t>Apex Shuttles Inc</t>
        </is>
      </c>
      <c r="B982" s="14" t="inlineStr">
        <is>
          <t>Boutique Transit</t>
        </is>
      </c>
      <c r="C982" s="15" t="n">
        <v>12</v>
      </c>
      <c r="D982" s="13" t="inlineStr">
        <is>
          <t>Ford Transit 350</t>
        </is>
      </c>
      <c r="E982" s="13" t="inlineStr">
        <is>
          <t>Christopher Miller</t>
        </is>
      </c>
      <c r="F982" s="13" t="inlineStr">
        <is>
          <t>christopher@apexshuttlesinc.com</t>
        </is>
      </c>
      <c r="G982" s="13" t="inlineStr">
        <is>
          <t>702-555-4305</t>
        </is>
      </c>
      <c r="H982" s="14" t="inlineStr">
        <is>
          <t>DOT93674</t>
        </is>
      </c>
      <c r="I982" s="16" t="n">
        <v>0.328</v>
      </c>
      <c r="J982" s="13" t="inlineStr">
        <is>
          <t>Transit 114°F Electrical Module Overheat Wire Ground Fire Risk</t>
        </is>
      </c>
      <c r="K982" s="14" t="inlineStr">
        <is>
          <t>Warm Prospect</t>
        </is>
      </c>
      <c r="L982" s="17">
        <f>IF(C982&gt;0, 99 + (C982 * 2.5), 0)</f>
        <v/>
      </c>
    </row>
    <row r="983">
      <c r="A983" s="8" t="inlineStr">
        <is>
          <t>Apex Lighting &amp; Power Group</t>
        </is>
      </c>
      <c r="B983" s="9" t="inlineStr">
        <is>
          <t>Electrical Services</t>
        </is>
      </c>
      <c r="C983" s="10" t="n">
        <v>133</v>
      </c>
      <c r="D983" s="8" t="inlineStr">
        <is>
          <t>Chevy Express 2500</t>
        </is>
      </c>
      <c r="E983" s="8" t="inlineStr">
        <is>
          <t>Michael Johnson</t>
        </is>
      </c>
      <c r="F983" s="8" t="inlineStr">
        <is>
          <t>michael@apexlightingpowergroup.com</t>
        </is>
      </c>
      <c r="G983" s="8" t="inlineStr">
        <is>
          <t>702-555-6154</t>
        </is>
      </c>
      <c r="H983" s="9" t="inlineStr">
        <is>
          <t>DOT22217</t>
        </is>
      </c>
      <c r="I983" s="11" t="n">
        <v>0.332</v>
      </c>
      <c r="J983" s="8" t="inlineStr">
        <is>
          <t>Express Engine Bay Hose Thermal Crack Hazard</t>
        </is>
      </c>
      <c r="K983" s="9" t="inlineStr">
        <is>
          <t>Warm Prospect</t>
        </is>
      </c>
      <c r="L983" s="12">
        <f>IF(C983&gt;0, 99 + (C983 * 2.5), 0)</f>
        <v/>
      </c>
    </row>
    <row r="984">
      <c r="A984" s="13" t="inlineStr">
        <is>
          <t>Henderson Electrical Contractors LLC</t>
        </is>
      </c>
      <c r="B984" s="14" t="inlineStr">
        <is>
          <t>Electrical Services</t>
        </is>
      </c>
      <c r="C984" s="15" t="n">
        <v>90</v>
      </c>
      <c r="D984" s="13" t="inlineStr">
        <is>
          <t>Chevy Express 3500</t>
        </is>
      </c>
      <c r="E984" s="13" t="inlineStr">
        <is>
          <t>Anthony Lopez</t>
        </is>
      </c>
      <c r="F984" s="13" t="inlineStr">
        <is>
          <t>anthony@hendersonelectricalcontractorsllc.com</t>
        </is>
      </c>
      <c r="G984" s="13" t="inlineStr">
        <is>
          <t>702-555-3122</t>
        </is>
      </c>
      <c r="H984" s="14" t="inlineStr">
        <is>
          <t>DOT98432</t>
        </is>
      </c>
      <c r="I984" s="16" t="n">
        <v>0.07000000000000001</v>
      </c>
      <c r="J984" s="13" t="inlineStr">
        <is>
          <t>Express Engine Bay Hose Thermal Crack Hazard</t>
        </is>
      </c>
      <c r="K984" s="14" t="inlineStr">
        <is>
          <t>Warm Prospect</t>
        </is>
      </c>
      <c r="L984" s="17">
        <f>IF(C984&gt;0, 99 + (C984 * 2.5), 0)</f>
        <v/>
      </c>
    </row>
    <row r="985">
      <c r="A985" s="8" t="inlineStr">
        <is>
          <t>High Rise Shuttles Group</t>
        </is>
      </c>
      <c r="B985" s="9" t="inlineStr">
        <is>
          <t>Boutique Transit</t>
        </is>
      </c>
      <c r="C985" s="10" t="n">
        <v>16</v>
      </c>
      <c r="D985" s="8" t="inlineStr">
        <is>
          <t>Mercedes-Benz Sprinter 2500</t>
        </is>
      </c>
      <c r="E985" s="8" t="inlineStr">
        <is>
          <t>Joshua Gonzalez</t>
        </is>
      </c>
      <c r="F985" s="8" t="inlineStr">
        <is>
          <t>joshua@highriseshuttlesgroup.com</t>
        </is>
      </c>
      <c r="G985" s="8" t="inlineStr">
        <is>
          <t>702-555-8814</t>
        </is>
      </c>
      <c r="H985" s="9" t="inlineStr">
        <is>
          <t>DOT86855</t>
        </is>
      </c>
      <c r="I985" s="11" t="n">
        <v>0.309</v>
      </c>
      <c r="J985" s="8" t="inlineStr">
        <is>
          <t>Sprinter AC Comp Condensation Drain Backup Wiring Short</t>
        </is>
      </c>
      <c r="K985" s="9" t="inlineStr">
        <is>
          <t>Warm Prospect</t>
        </is>
      </c>
      <c r="L985" s="12">
        <f>IF(C985&gt;0, 99 + (C985 * 2.5), 0)</f>
        <v/>
      </c>
    </row>
    <row r="986">
      <c r="A986" s="13" t="inlineStr">
        <is>
          <t>Red Rock Power Systems Group</t>
        </is>
      </c>
      <c r="B986" s="14" t="inlineStr">
        <is>
          <t>Electrical Services</t>
        </is>
      </c>
      <c r="C986" s="15" t="n">
        <v>30</v>
      </c>
      <c r="D986" s="13" t="inlineStr">
        <is>
          <t>Ram ProMaster 1500</t>
        </is>
      </c>
      <c r="E986" s="13" t="inlineStr">
        <is>
          <t>James Davis</t>
        </is>
      </c>
      <c r="F986" s="13" t="inlineStr">
        <is>
          <t>james@redrockpowersystemsgroup.com</t>
        </is>
      </c>
      <c r="G986" s="13" t="inlineStr">
        <is>
          <t>702-555-4533</t>
        </is>
      </c>
      <c r="H986" s="14" t="inlineStr">
        <is>
          <t>DOT99320</t>
        </is>
      </c>
      <c r="I986" s="16" t="n">
        <v>0.243</v>
      </c>
      <c r="J986" s="13" t="inlineStr">
        <is>
          <t>ProMaster Brake Line Rubbing Collision Abrasion Leak</t>
        </is>
      </c>
      <c r="K986" s="14" t="inlineStr">
        <is>
          <t>Warm Prospect</t>
        </is>
      </c>
      <c r="L986" s="17">
        <f>IF(C986&gt;0, 99 + (C986 * 2.5), 0)</f>
        <v/>
      </c>
    </row>
    <row r="987">
      <c r="A987" s="8" t="inlineStr">
        <is>
          <t>High Rise Charter Buses Group</t>
        </is>
      </c>
      <c r="B987" s="9" t="inlineStr">
        <is>
          <t>Boutique Transit</t>
        </is>
      </c>
      <c r="C987" s="10" t="n">
        <v>143</v>
      </c>
      <c r="D987" s="8" t="inlineStr">
        <is>
          <t>Ford Transit 350</t>
        </is>
      </c>
      <c r="E987" s="8" t="inlineStr">
        <is>
          <t>Daniel Anderson</t>
        </is>
      </c>
      <c r="F987" s="8" t="inlineStr">
        <is>
          <t>daniel@highrisecharterbusesgroup.com</t>
        </is>
      </c>
      <c r="G987" s="8" t="inlineStr">
        <is>
          <t>702-555-3149</t>
        </is>
      </c>
      <c r="H987" s="9" t="inlineStr">
        <is>
          <t>DOT54436</t>
        </is>
      </c>
      <c r="I987" s="11" t="n">
        <v>0.13</v>
      </c>
      <c r="J987" s="8" t="inlineStr">
        <is>
          <t>Transit 114°F Electrical Module Overheat Wire Ground Fire Risk</t>
        </is>
      </c>
      <c r="K987" s="9" t="inlineStr">
        <is>
          <t>Audit Run</t>
        </is>
      </c>
      <c r="L987" s="12">
        <f>IF(C987&gt;0, 99 + (C987 * 2.5), 0)</f>
        <v/>
      </c>
    </row>
    <row r="988">
      <c r="A988" s="13" t="inlineStr">
        <is>
          <t>Silver State Electric Pros Group</t>
        </is>
      </c>
      <c r="B988" s="14" t="inlineStr">
        <is>
          <t>Electrical Services</t>
        </is>
      </c>
      <c r="C988" s="15" t="n">
        <v>71</v>
      </c>
      <c r="D988" s="13" t="inlineStr">
        <is>
          <t>Ram ProMaster 1500</t>
        </is>
      </c>
      <c r="E988" s="13" t="inlineStr">
        <is>
          <t>Richard Martin</t>
        </is>
      </c>
      <c r="F988" s="13" t="inlineStr">
        <is>
          <t>richard@silverstateelectricprosgroup.com</t>
        </is>
      </c>
      <c r="G988" s="13" t="inlineStr">
        <is>
          <t>702-555-2228</t>
        </is>
      </c>
      <c r="H988" s="14" t="inlineStr">
        <is>
          <t>DOT29975</t>
        </is>
      </c>
      <c r="I988" s="16" t="n">
        <v>0.216</v>
      </c>
      <c r="J988" s="13" t="inlineStr">
        <is>
          <t>ProMaster Brake Line Rubbing Collision Abrasion Leak</t>
        </is>
      </c>
      <c r="K988" s="14" t="inlineStr">
        <is>
          <t>Warm Prospect</t>
        </is>
      </c>
      <c r="L988" s="17">
        <f>IF(C988&gt;0, 99 + (C988 * 2.5), 0)</f>
        <v/>
      </c>
    </row>
    <row r="989">
      <c r="A989" s="8" t="inlineStr">
        <is>
          <t>Henderson Air Conditioning Inc</t>
        </is>
      </c>
      <c r="B989" s="9" t="inlineStr">
        <is>
          <t>HVAC/Plumbing</t>
        </is>
      </c>
      <c r="C989" s="10" t="n">
        <v>150</v>
      </c>
      <c r="D989" s="8" t="inlineStr">
        <is>
          <t>Ford Transit 150</t>
        </is>
      </c>
      <c r="E989" s="8" t="inlineStr">
        <is>
          <t>James Thomas</t>
        </is>
      </c>
      <c r="F989" s="8" t="inlineStr">
        <is>
          <t>james@hendersonairconditioninginc.com</t>
        </is>
      </c>
      <c r="G989" s="8" t="inlineStr">
        <is>
          <t>702-555-2541</t>
        </is>
      </c>
      <c r="H989" s="9" t="inlineStr">
        <is>
          <t>DOT69612</t>
        </is>
      </c>
      <c r="I989" s="11" t="n">
        <v>0.137</v>
      </c>
      <c r="J989" s="8" t="inlineStr">
        <is>
          <t>Transit 114°F Electrical Module Overheat Wire Ground Fire Risk</t>
        </is>
      </c>
      <c r="K989" s="9" t="inlineStr">
        <is>
          <t>Warm Prospect</t>
        </is>
      </c>
      <c r="L989" s="12">
        <f>IF(C989&gt;0, 99 + (C989 * 2.5), 0)</f>
        <v/>
      </c>
    </row>
    <row r="990">
      <c r="A990" s="13" t="inlineStr">
        <is>
          <t>Apex HVAC Services Group</t>
        </is>
      </c>
      <c r="B990" s="14" t="inlineStr">
        <is>
          <t>HVAC/Plumbing</t>
        </is>
      </c>
      <c r="C990" s="15" t="n">
        <v>100</v>
      </c>
      <c r="D990" s="13" t="inlineStr">
        <is>
          <t>Ford Transit 150</t>
        </is>
      </c>
      <c r="E990" s="13" t="inlineStr">
        <is>
          <t>James Williams</t>
        </is>
      </c>
      <c r="F990" s="13" t="inlineStr">
        <is>
          <t>james@apexhvacservicesgroup.com</t>
        </is>
      </c>
      <c r="G990" s="13" t="inlineStr">
        <is>
          <t>702-555-3935</t>
        </is>
      </c>
      <c r="H990" s="14" t="inlineStr">
        <is>
          <t>DOT70390</t>
        </is>
      </c>
      <c r="I990" s="16" t="n">
        <v>0.12</v>
      </c>
      <c r="J990" s="13" t="inlineStr">
        <is>
          <t>Transit 114°F Electrical Module Overheat Wire Ground Fire Risk</t>
        </is>
      </c>
      <c r="K990" s="14" t="inlineStr">
        <is>
          <t>Warm Prospect</t>
        </is>
      </c>
      <c r="L990" s="17">
        <f>IF(C990&gt;0, 99 + (C990 * 2.5), 0)</f>
        <v/>
      </c>
    </row>
    <row r="991">
      <c r="A991" s="8" t="inlineStr">
        <is>
          <t>Henderson Wiring Solutions Group</t>
        </is>
      </c>
      <c r="B991" s="9" t="inlineStr">
        <is>
          <t>Electrical Services</t>
        </is>
      </c>
      <c r="C991" s="10" t="n">
        <v>41</v>
      </c>
      <c r="D991" s="8" t="inlineStr">
        <is>
          <t>Chevy Express 3500</t>
        </is>
      </c>
      <c r="E991" s="8" t="inlineStr">
        <is>
          <t>Joshua Thomas</t>
        </is>
      </c>
      <c r="F991" s="8" t="inlineStr">
        <is>
          <t>joshua@hendersonwiringsolutionsgroup.com</t>
        </is>
      </c>
      <c r="G991" s="8" t="inlineStr">
        <is>
          <t>702-555-1648</t>
        </is>
      </c>
      <c r="H991" s="9" t="inlineStr">
        <is>
          <t>DOT57641</t>
        </is>
      </c>
      <c r="I991" s="11" t="n">
        <v>0.306</v>
      </c>
      <c r="J991" s="8" t="inlineStr">
        <is>
          <t>Express Engine Bay Hose Thermal Crack Hazard</t>
        </is>
      </c>
      <c r="K991" s="9" t="inlineStr">
        <is>
          <t>Warm Prospect</t>
        </is>
      </c>
      <c r="L991" s="12">
        <f>IF(C991&gt;0, 99 + (C991 * 2.5), 0)</f>
        <v/>
      </c>
    </row>
    <row r="992">
      <c r="A992" s="13" t="inlineStr">
        <is>
          <t>Summerlin Lighting &amp; Power Group</t>
        </is>
      </c>
      <c r="B992" s="14" t="inlineStr">
        <is>
          <t>Electrical Services</t>
        </is>
      </c>
      <c r="C992" s="15" t="n">
        <v>122</v>
      </c>
      <c r="D992" s="13" t="inlineStr">
        <is>
          <t>Chevy Express 3500</t>
        </is>
      </c>
      <c r="E992" s="13" t="inlineStr">
        <is>
          <t>Matthew Taylor</t>
        </is>
      </c>
      <c r="F992" s="13" t="inlineStr">
        <is>
          <t>matthew@summerlinlightingpowergroup.com</t>
        </is>
      </c>
      <c r="G992" s="13" t="inlineStr">
        <is>
          <t>702-555-6138</t>
        </is>
      </c>
      <c r="H992" s="14" t="inlineStr">
        <is>
          <t>DOT58979</t>
        </is>
      </c>
      <c r="I992" s="16" t="n">
        <v>0.066</v>
      </c>
      <c r="J992" s="13" t="inlineStr">
        <is>
          <t>Express Engine Bay Hose Thermal Crack Hazard</t>
        </is>
      </c>
      <c r="K992" s="14" t="inlineStr">
        <is>
          <t>Warm Prospect</t>
        </is>
      </c>
      <c r="L992" s="17">
        <f>IF(C992&gt;0, 99 + (C992 * 2.5), 0)</f>
        <v/>
      </c>
    </row>
    <row r="993">
      <c r="A993" s="8" t="inlineStr">
        <is>
          <t>First Choice Chauffeurs Group</t>
        </is>
      </c>
      <c r="B993" s="9" t="inlineStr">
        <is>
          <t>Boutique Transit</t>
        </is>
      </c>
      <c r="C993" s="10" t="n">
        <v>24</v>
      </c>
      <c r="D993" s="8" t="inlineStr">
        <is>
          <t>Mercedes-Benz Sprinter 2500</t>
        </is>
      </c>
      <c r="E993" s="8" t="inlineStr">
        <is>
          <t>Thomas Moore</t>
        </is>
      </c>
      <c r="F993" s="8" t="inlineStr">
        <is>
          <t>thomas@firstchoicechauffeursgroup.com</t>
        </is>
      </c>
      <c r="G993" s="8" t="inlineStr">
        <is>
          <t>702-555-1130</t>
        </is>
      </c>
      <c r="H993" s="9" t="inlineStr">
        <is>
          <t>DOT30258</t>
        </is>
      </c>
      <c r="I993" s="11" t="n">
        <v>0.304</v>
      </c>
      <c r="J993" s="8" t="inlineStr">
        <is>
          <t>Sprinter AC Comp Condensation Drain Backup Wiring Short</t>
        </is>
      </c>
      <c r="K993" s="9" t="inlineStr">
        <is>
          <t>Warm Prospect</t>
        </is>
      </c>
      <c r="L993" s="12">
        <f>IF(C993&gt;0, 99 + (C993 * 2.5), 0)</f>
        <v/>
      </c>
    </row>
    <row r="994">
      <c r="A994" s="13" t="inlineStr">
        <is>
          <t>Red Rock Lighting &amp; Power LLC</t>
        </is>
      </c>
      <c r="B994" s="14" t="inlineStr">
        <is>
          <t>Electrical Services</t>
        </is>
      </c>
      <c r="C994" s="15" t="n">
        <v>67</v>
      </c>
      <c r="D994" s="13" t="inlineStr">
        <is>
          <t>Chevy Express 2500</t>
        </is>
      </c>
      <c r="E994" s="13" t="inlineStr">
        <is>
          <t>Anthony Anderson</t>
        </is>
      </c>
      <c r="F994" s="13" t="inlineStr">
        <is>
          <t>anthony@redrocklightingpowerllc.com</t>
        </is>
      </c>
      <c r="G994" s="13" t="inlineStr">
        <is>
          <t>702-555-2531</t>
        </is>
      </c>
      <c r="H994" s="14" t="inlineStr">
        <is>
          <t>DOT55735</t>
        </is>
      </c>
      <c r="I994" s="16" t="n">
        <v>0.184</v>
      </c>
      <c r="J994" s="13" t="inlineStr">
        <is>
          <t>Express Engine Bay Hose Thermal Crack Hazard</t>
        </is>
      </c>
      <c r="K994" s="14" t="inlineStr">
        <is>
          <t>Audit Run</t>
        </is>
      </c>
      <c r="L994" s="17">
        <f>IF(C994&gt;0, 99 + (C994 * 2.5), 0)</f>
        <v/>
      </c>
    </row>
    <row r="995">
      <c r="A995" s="8" t="inlineStr">
        <is>
          <t>Apex Electric &amp; Solar Inc</t>
        </is>
      </c>
      <c r="B995" s="9" t="inlineStr">
        <is>
          <t>Electrical Services</t>
        </is>
      </c>
      <c r="C995" s="10" t="n">
        <v>111</v>
      </c>
      <c r="D995" s="8" t="inlineStr">
        <is>
          <t>Chevy Express 2500</t>
        </is>
      </c>
      <c r="E995" s="8" t="inlineStr">
        <is>
          <t>Mark Miller</t>
        </is>
      </c>
      <c r="F995" s="8" t="inlineStr">
        <is>
          <t>mark@apexelectricsolarinc.com</t>
        </is>
      </c>
      <c r="G995" s="8" t="inlineStr">
        <is>
          <t>702-555-7578</t>
        </is>
      </c>
      <c r="H995" s="9" t="inlineStr">
        <is>
          <t>DOT53086</t>
        </is>
      </c>
      <c r="I995" s="11" t="n">
        <v>0.06</v>
      </c>
      <c r="J995" s="8" t="inlineStr">
        <is>
          <t>Express Engine Bay Hose Thermal Crack Hazard</t>
        </is>
      </c>
      <c r="K995" s="9" t="inlineStr">
        <is>
          <t>Warm Prospect</t>
        </is>
      </c>
      <c r="L995" s="12">
        <f>IF(C995&gt;0, 99 + (C995 * 2.5), 0)</f>
        <v/>
      </c>
    </row>
    <row r="996">
      <c r="A996" s="13" t="inlineStr">
        <is>
          <t>First Choice Airport Express Group</t>
        </is>
      </c>
      <c r="B996" s="14" t="inlineStr">
        <is>
          <t>Boutique Transit</t>
        </is>
      </c>
      <c r="C996" s="15" t="n">
        <v>131</v>
      </c>
      <c r="D996" s="13" t="inlineStr">
        <is>
          <t>Ford Transit 350</t>
        </is>
      </c>
      <c r="E996" s="13" t="inlineStr">
        <is>
          <t>Robert Rodriguez</t>
        </is>
      </c>
      <c r="F996" s="13" t="inlineStr">
        <is>
          <t>robert@firstchoiceairportexpressgroup.com</t>
        </is>
      </c>
      <c r="G996" s="13" t="inlineStr">
        <is>
          <t>702-555-8447</t>
        </is>
      </c>
      <c r="H996" s="14" t="inlineStr">
        <is>
          <t>DOT15017</t>
        </is>
      </c>
      <c r="I996" s="16" t="n">
        <v>0.209</v>
      </c>
      <c r="J996" s="13" t="inlineStr">
        <is>
          <t>Transit 114°F Electrical Module Overheat Wire Ground Fire Risk</t>
        </is>
      </c>
      <c r="K996" s="14" t="inlineStr">
        <is>
          <t>Warm Prospect</t>
        </is>
      </c>
      <c r="L996" s="17">
        <f>IF(C996&gt;0, 99 + (C996 * 2.5), 0)</f>
        <v/>
      </c>
    </row>
    <row r="997">
      <c r="A997" s="8" t="inlineStr">
        <is>
          <t>Vegas Valley Plumbing &amp; Drain LLC</t>
        </is>
      </c>
      <c r="B997" s="9" t="inlineStr">
        <is>
          <t>HVAC/Plumbing</t>
        </is>
      </c>
      <c r="C997" s="10" t="n">
        <v>18</v>
      </c>
      <c r="D997" s="8" t="inlineStr">
        <is>
          <t>Chevy Express 2500</t>
        </is>
      </c>
      <c r="E997" s="8" t="inlineStr">
        <is>
          <t>Kenneth Gonzalez</t>
        </is>
      </c>
      <c r="F997" s="8" t="inlineStr">
        <is>
          <t>kenneth@vegasvalleyplumbingdrainllc.com</t>
        </is>
      </c>
      <c r="G997" s="8" t="inlineStr">
        <is>
          <t>702-555-2022</t>
        </is>
      </c>
      <c r="H997" s="9" t="inlineStr">
        <is>
          <t>DOT57381</t>
        </is>
      </c>
      <c r="I997" s="11" t="n">
        <v>0.285</v>
      </c>
      <c r="J997" s="8" t="inlineStr">
        <is>
          <t>Express Engine Bay Hose Thermal Crack Hazard</t>
        </is>
      </c>
      <c r="K997" s="9" t="inlineStr">
        <is>
          <t>Warm Prospect</t>
        </is>
      </c>
      <c r="L997" s="12">
        <f>IF(C997&gt;0, 99 + (C997 * 2.5), 0)</f>
        <v/>
      </c>
    </row>
    <row r="998">
      <c r="A998" s="13" t="inlineStr">
        <is>
          <t>Silver State Plumbing &amp; Drain Inc</t>
        </is>
      </c>
      <c r="B998" s="14" t="inlineStr">
        <is>
          <t>HVAC/Plumbing</t>
        </is>
      </c>
      <c r="C998" s="15" t="n">
        <v>79</v>
      </c>
      <c r="D998" s="13" t="inlineStr">
        <is>
          <t>GMC Savana 2500</t>
        </is>
      </c>
      <c r="E998" s="13" t="inlineStr">
        <is>
          <t>Charles Garcia</t>
        </is>
      </c>
      <c r="F998" s="13" t="inlineStr">
        <is>
          <t>charles@silverstateplumbingdraininc.com</t>
        </is>
      </c>
      <c r="G998" s="13" t="inlineStr">
        <is>
          <t>702-555-2369</t>
        </is>
      </c>
      <c r="H998" s="14" t="inlineStr">
        <is>
          <t>DOT28577</t>
        </is>
      </c>
      <c r="I998" s="16" t="n">
        <v>0.061</v>
      </c>
      <c r="J998" s="13" t="inlineStr">
        <is>
          <t>Savana Desert Fuel Line Seal Degradation Failure</t>
        </is>
      </c>
      <c r="K998" s="14" t="inlineStr">
        <is>
          <t>Warm Prospect</t>
        </is>
      </c>
      <c r="L998" s="17">
        <f>IF(C998&gt;0, 99 + (C998 * 2.5), 0)</f>
        <v/>
      </c>
    </row>
    <row r="999">
      <c r="A999" s="8" t="inlineStr">
        <is>
          <t>Mojave Mechanical Services LLC</t>
        </is>
      </c>
      <c r="B999" s="9" t="inlineStr">
        <is>
          <t>HVAC/Plumbing</t>
        </is>
      </c>
      <c r="C999" s="10" t="n">
        <v>144</v>
      </c>
      <c r="D999" s="8" t="inlineStr">
        <is>
          <t>GMC Savana 2500</t>
        </is>
      </c>
      <c r="E999" s="8" t="inlineStr">
        <is>
          <t>Richard Rodriguez</t>
        </is>
      </c>
      <c r="F999" s="8" t="inlineStr">
        <is>
          <t>richard@mojavemechanicalservicesllc.com</t>
        </is>
      </c>
      <c r="G999" s="8" t="inlineStr">
        <is>
          <t>702-555-4015</t>
        </is>
      </c>
      <c r="H999" s="9" t="inlineStr">
        <is>
          <t>DOT17044</t>
        </is>
      </c>
      <c r="I999" s="11" t="n">
        <v>0.06900000000000001</v>
      </c>
      <c r="J999" s="8" t="inlineStr">
        <is>
          <t>Savana Desert Fuel Line Seal Degradation Failure</t>
        </is>
      </c>
      <c r="K999" s="9" t="inlineStr">
        <is>
          <t>Warm Prospect</t>
        </is>
      </c>
      <c r="L999" s="12">
        <f>IF(C999&gt;0, 99 + (C999 * 2.5), 0)</f>
        <v/>
      </c>
    </row>
    <row r="1000">
      <c r="A1000" s="13" t="inlineStr">
        <is>
          <t>Henderson Electrical Contractors Inc</t>
        </is>
      </c>
      <c r="B1000" s="14" t="inlineStr">
        <is>
          <t>Electrical Services</t>
        </is>
      </c>
      <c r="C1000" s="15" t="n">
        <v>99</v>
      </c>
      <c r="D1000" s="13" t="inlineStr">
        <is>
          <t>Chevy Express 3500</t>
        </is>
      </c>
      <c r="E1000" s="13" t="inlineStr">
        <is>
          <t>Mark Thomas</t>
        </is>
      </c>
      <c r="F1000" s="13" t="inlineStr">
        <is>
          <t>mark@hendersonelectricalcontractorsinc.com</t>
        </is>
      </c>
      <c r="G1000" s="13" t="inlineStr">
        <is>
          <t>702-555-8790</t>
        </is>
      </c>
      <c r="H1000" s="14" t="inlineStr">
        <is>
          <t>DOT80189</t>
        </is>
      </c>
      <c r="I1000" s="16" t="n">
        <v>0.254</v>
      </c>
      <c r="J1000" s="13" t="inlineStr">
        <is>
          <t>Express Engine Bay Hose Thermal Crack Hazard</t>
        </is>
      </c>
      <c r="K1000" s="14" t="inlineStr">
        <is>
          <t>Warm Prospect</t>
        </is>
      </c>
      <c r="L1000" s="17">
        <f>IF(C1000&gt;0, 99 + (C1000 * 2.5), 0)</f>
        <v/>
      </c>
    </row>
    <row r="1001">
      <c r="A1001" s="8" t="inlineStr">
        <is>
          <t>Titan Chauffeurs Group</t>
        </is>
      </c>
      <c r="B1001" s="9" t="inlineStr">
        <is>
          <t>Boutique Transit</t>
        </is>
      </c>
      <c r="C1001" s="10" t="n">
        <v>109</v>
      </c>
      <c r="D1001" s="8" t="inlineStr">
        <is>
          <t>Ford Transit 350</t>
        </is>
      </c>
      <c r="E1001" s="8" t="inlineStr">
        <is>
          <t>John Moore</t>
        </is>
      </c>
      <c r="F1001" s="8" t="inlineStr">
        <is>
          <t>john@titanchauffeursgroup.com</t>
        </is>
      </c>
      <c r="G1001" s="8" t="inlineStr">
        <is>
          <t>702-555-4253</t>
        </is>
      </c>
      <c r="H1001" s="9" t="inlineStr">
        <is>
          <t>DOT20198</t>
        </is>
      </c>
      <c r="I1001" s="11" t="n">
        <v>0.264</v>
      </c>
      <c r="J1001" s="8" t="inlineStr">
        <is>
          <t>Transit 114°F Electrical Module Overheat Wire Ground Fire Risk</t>
        </is>
      </c>
      <c r="K1001" s="9" t="inlineStr">
        <is>
          <t>Audit Run</t>
        </is>
      </c>
      <c r="L1001" s="12">
        <f>IF(C1001&gt;0, 99 + (C1001 * 2.5), 0)</f>
        <v/>
      </c>
    </row>
    <row r="1002">
      <c r="A1002" s="13" t="inlineStr">
        <is>
          <t>Red Rock Chauffeurs Group</t>
        </is>
      </c>
      <c r="B1002" s="14" t="inlineStr">
        <is>
          <t>Boutique Transit</t>
        </is>
      </c>
      <c r="C1002" s="15" t="n">
        <v>91</v>
      </c>
      <c r="D1002" s="13" t="inlineStr">
        <is>
          <t>Ford Transit 350</t>
        </is>
      </c>
      <c r="E1002" s="13" t="inlineStr">
        <is>
          <t>John Jones</t>
        </is>
      </c>
      <c r="F1002" s="13" t="inlineStr">
        <is>
          <t>john@redrockchauffeursgroup.com</t>
        </is>
      </c>
      <c r="G1002" s="13" t="inlineStr">
        <is>
          <t>702-555-8514</t>
        </is>
      </c>
      <c r="H1002" s="14" t="inlineStr">
        <is>
          <t>DOT29331</t>
        </is>
      </c>
      <c r="I1002" s="16" t="n">
        <v>0.195</v>
      </c>
      <c r="J1002" s="13" t="inlineStr">
        <is>
          <t>Transit 114°F Electrical Module Overheat Wire Ground Fire Risk</t>
        </is>
      </c>
      <c r="K1002" s="14" t="inlineStr">
        <is>
          <t>Warm Prospect</t>
        </is>
      </c>
      <c r="L1002" s="17">
        <f>IF(C1002&gt;0, 99 + (C1002 * 2.5), 0)</f>
        <v/>
      </c>
    </row>
    <row r="1003">
      <c r="A1003" s="8" t="inlineStr">
        <is>
          <t>Henderson Mechanical Services LLC</t>
        </is>
      </c>
      <c r="B1003" s="9" t="inlineStr">
        <is>
          <t>HVAC/Plumbing</t>
        </is>
      </c>
      <c r="C1003" s="10" t="n">
        <v>143</v>
      </c>
      <c r="D1003" s="8" t="inlineStr">
        <is>
          <t>Ford Transit 150</t>
        </is>
      </c>
      <c r="E1003" s="8" t="inlineStr">
        <is>
          <t>John Anderson</t>
        </is>
      </c>
      <c r="F1003" s="8" t="inlineStr">
        <is>
          <t>john@hendersonmechanicalservicesllc.com</t>
        </is>
      </c>
      <c r="G1003" s="8" t="inlineStr">
        <is>
          <t>702-555-3059</t>
        </is>
      </c>
      <c r="H1003" s="9" t="inlineStr">
        <is>
          <t>DOT93138</t>
        </is>
      </c>
      <c r="I1003" s="11" t="n">
        <v>0.179</v>
      </c>
      <c r="J1003" s="8" t="inlineStr">
        <is>
          <t>Transit 114°F Electrical Module Overheat Wire Ground Fire Risk</t>
        </is>
      </c>
      <c r="K1003" s="9" t="inlineStr">
        <is>
          <t>Audit Run</t>
        </is>
      </c>
      <c r="L1003" s="12">
        <f>IF(C1003&gt;0, 99 + (C1003 * 2.5), 0)</f>
        <v/>
      </c>
    </row>
    <row r="1004">
      <c r="A1004" s="13" t="inlineStr">
        <is>
          <t>Silver State Plumbing &amp; Drain Group</t>
        </is>
      </c>
      <c r="B1004" s="14" t="inlineStr">
        <is>
          <t>HVAC/Plumbing</t>
        </is>
      </c>
      <c r="C1004" s="15" t="n">
        <v>117</v>
      </c>
      <c r="D1004" s="13" t="inlineStr">
        <is>
          <t>Ford Transit 350</t>
        </is>
      </c>
      <c r="E1004" s="13" t="inlineStr">
        <is>
          <t>Andrew Garcia</t>
        </is>
      </c>
      <c r="F1004" s="13" t="inlineStr">
        <is>
          <t>andrew@silverstateplumbingdraingroup.com</t>
        </is>
      </c>
      <c r="G1004" s="13" t="inlineStr">
        <is>
          <t>702-555-7185</t>
        </is>
      </c>
      <c r="H1004" s="14" t="inlineStr">
        <is>
          <t>DOT38329</t>
        </is>
      </c>
      <c r="I1004" s="16" t="n">
        <v>0.148</v>
      </c>
      <c r="J1004" s="13" t="inlineStr">
        <is>
          <t>Transit 114°F Electrical Module Overheat Wire Ground Fire Risk</t>
        </is>
      </c>
      <c r="K1004" s="14" t="inlineStr">
        <is>
          <t>Warm Prospect</t>
        </is>
      </c>
      <c r="L1004" s="17">
        <f>IF(C1004&gt;0, 99 + (C1004 * 2.5), 0)</f>
        <v/>
      </c>
    </row>
    <row r="1005">
      <c r="A1005" s="8" t="inlineStr">
        <is>
          <t>Las Vegas Shuttles LLC</t>
        </is>
      </c>
      <c r="B1005" s="9" t="inlineStr">
        <is>
          <t>Boutique Transit</t>
        </is>
      </c>
      <c r="C1005" s="10" t="n">
        <v>14</v>
      </c>
      <c r="D1005" s="8" t="inlineStr">
        <is>
          <t>Mercedes-Benz Sprinter 3500</t>
        </is>
      </c>
      <c r="E1005" s="8" t="inlineStr">
        <is>
          <t>Christopher Martinez</t>
        </is>
      </c>
      <c r="F1005" s="8" t="inlineStr">
        <is>
          <t>christopher@lasvegasshuttlesllc.com</t>
        </is>
      </c>
      <c r="G1005" s="8" t="inlineStr">
        <is>
          <t>702-555-9226</t>
        </is>
      </c>
      <c r="H1005" s="9" t="inlineStr">
        <is>
          <t>DOT26350</t>
        </is>
      </c>
      <c r="I1005" s="11" t="n">
        <v>0.257</v>
      </c>
      <c r="J1005" s="8" t="inlineStr">
        <is>
          <t>Sprinter AC Comp Condensation Drain Backup Wiring Short</t>
        </is>
      </c>
      <c r="K1005" s="9" t="inlineStr">
        <is>
          <t>Warm Prospect</t>
        </is>
      </c>
      <c r="L1005" s="12">
        <f>IF(C1005&gt;0, 99 + (C1005 * 2.5), 0)</f>
        <v/>
      </c>
    </row>
    <row r="1006">
      <c r="A1006" s="13" t="inlineStr">
        <is>
          <t>Titan Electrical Contractors LLC</t>
        </is>
      </c>
      <c r="B1006" s="14" t="inlineStr">
        <is>
          <t>Electrical Services</t>
        </is>
      </c>
      <c r="C1006" s="15" t="n">
        <v>143</v>
      </c>
      <c r="D1006" s="13" t="inlineStr">
        <is>
          <t>Ram ProMaster 1500</t>
        </is>
      </c>
      <c r="E1006" s="13" t="inlineStr">
        <is>
          <t>Daniel Brown</t>
        </is>
      </c>
      <c r="F1006" s="13" t="inlineStr">
        <is>
          <t>daniel@titanelectricalcontractorsllc.com</t>
        </is>
      </c>
      <c r="G1006" s="13" t="inlineStr">
        <is>
          <t>702-555-3880</t>
        </is>
      </c>
      <c r="H1006" s="14" t="inlineStr">
        <is>
          <t>DOT70138</t>
        </is>
      </c>
      <c r="I1006" s="16" t="n">
        <v>0.173</v>
      </c>
      <c r="J1006" s="13" t="inlineStr">
        <is>
          <t>ProMaster Brake Line Rubbing Collision Abrasion Leak</t>
        </is>
      </c>
      <c r="K1006" s="14" t="inlineStr">
        <is>
          <t>Warm Prospect</t>
        </is>
      </c>
      <c r="L1006" s="17">
        <f>IF(C1006&gt;0, 99 + (C1006 * 2.5), 0)</f>
        <v/>
      </c>
    </row>
    <row r="1007">
      <c r="A1007" s="8" t="inlineStr">
        <is>
          <t>Las Vegas Airport Express Group</t>
        </is>
      </c>
      <c r="B1007" s="9" t="inlineStr">
        <is>
          <t>Boutique Transit</t>
        </is>
      </c>
      <c r="C1007" s="10" t="n">
        <v>107</v>
      </c>
      <c r="D1007" s="8" t="inlineStr">
        <is>
          <t>Mercedes-Benz Sprinter 3500</t>
        </is>
      </c>
      <c r="E1007" s="8" t="inlineStr">
        <is>
          <t>Christopher Wilson</t>
        </is>
      </c>
      <c r="F1007" s="8" t="inlineStr">
        <is>
          <t>christopher@lasvegasairportexpressgroup.com</t>
        </is>
      </c>
      <c r="G1007" s="8" t="inlineStr">
        <is>
          <t>702-555-5640</t>
        </is>
      </c>
      <c r="H1007" s="9" t="inlineStr">
        <is>
          <t>DOT91313</t>
        </is>
      </c>
      <c r="I1007" s="11" t="n">
        <v>0.331</v>
      </c>
      <c r="J1007" s="8" t="inlineStr">
        <is>
          <t>Sprinter AC Comp Condensation Drain Backup Wiring Short</t>
        </is>
      </c>
      <c r="K1007" s="9" t="inlineStr">
        <is>
          <t>Warm Prospect</t>
        </is>
      </c>
      <c r="L1007" s="12">
        <f>IF(C1007&gt;0, 99 + (C1007 * 2.5), 0)</f>
        <v/>
      </c>
    </row>
    <row r="1008">
      <c r="A1008" s="13" t="inlineStr">
        <is>
          <t>Henderson Air Conditioning Inc</t>
        </is>
      </c>
      <c r="B1008" s="14" t="inlineStr">
        <is>
          <t>HVAC/Plumbing</t>
        </is>
      </c>
      <c r="C1008" s="15" t="n">
        <v>115</v>
      </c>
      <c r="D1008" s="13" t="inlineStr">
        <is>
          <t>Ford Transit 250</t>
        </is>
      </c>
      <c r="E1008" s="13" t="inlineStr">
        <is>
          <t>Robert Thomas</t>
        </is>
      </c>
      <c r="F1008" s="13" t="inlineStr">
        <is>
          <t>robert@hendersonairconditioninginc.com</t>
        </is>
      </c>
      <c r="G1008" s="13" t="inlineStr">
        <is>
          <t>702-555-9924</t>
        </is>
      </c>
      <c r="H1008" s="14" t="inlineStr">
        <is>
          <t>DOT23068</t>
        </is>
      </c>
      <c r="I1008" s="16" t="n">
        <v>0.236</v>
      </c>
      <c r="J1008" s="13" t="inlineStr">
        <is>
          <t>Transit 114°F Electrical Module Overheat Wire Ground Fire Risk</t>
        </is>
      </c>
      <c r="K1008" s="14" t="inlineStr">
        <is>
          <t>Audit Run</t>
        </is>
      </c>
      <c r="L1008" s="17">
        <f>IF(C1008&gt;0, 99 + (C1008 * 2.5), 0)</f>
        <v/>
      </c>
    </row>
    <row r="1009">
      <c r="A1009" s="8" t="inlineStr">
        <is>
          <t>Henderson Shuttles Group</t>
        </is>
      </c>
      <c r="B1009" s="9" t="inlineStr">
        <is>
          <t>Boutique Transit</t>
        </is>
      </c>
      <c r="C1009" s="10" t="n">
        <v>117</v>
      </c>
      <c r="D1009" s="8" t="inlineStr">
        <is>
          <t>Mercedes-Benz Sprinter 3500</t>
        </is>
      </c>
      <c r="E1009" s="8" t="inlineStr">
        <is>
          <t>Richard Davis</t>
        </is>
      </c>
      <c r="F1009" s="8" t="inlineStr">
        <is>
          <t>richard@hendersonshuttlesgroup.com</t>
        </is>
      </c>
      <c r="G1009" s="8" t="inlineStr">
        <is>
          <t>702-555-8448</t>
        </is>
      </c>
      <c r="H1009" s="9" t="inlineStr">
        <is>
          <t>DOT82297</t>
        </is>
      </c>
      <c r="I1009" s="11" t="n">
        <v>0.158</v>
      </c>
      <c r="J1009" s="8" t="inlineStr">
        <is>
          <t>Sprinter AC Comp Condensation Drain Backup Wiring Short</t>
        </is>
      </c>
      <c r="K1009" s="9" t="inlineStr">
        <is>
          <t>Warm Prospect</t>
        </is>
      </c>
      <c r="L1009" s="12">
        <f>IF(C1009&gt;0, 99 + (C1009 * 2.5), 0)</f>
        <v/>
      </c>
    </row>
    <row r="1010">
      <c r="A1010" s="13" t="inlineStr">
        <is>
          <t>Apex Electrical Contractors LLC</t>
        </is>
      </c>
      <c r="B1010" s="14" t="inlineStr">
        <is>
          <t>Electrical Services</t>
        </is>
      </c>
      <c r="C1010" s="15" t="n">
        <v>111</v>
      </c>
      <c r="D1010" s="13" t="inlineStr">
        <is>
          <t>Ram ProMaster 1500</t>
        </is>
      </c>
      <c r="E1010" s="13" t="inlineStr">
        <is>
          <t>John Lopez</t>
        </is>
      </c>
      <c r="F1010" s="13" t="inlineStr">
        <is>
          <t>john@apexelectricalcontractorsllc.com</t>
        </is>
      </c>
      <c r="G1010" s="13" t="inlineStr">
        <is>
          <t>702-555-4668</t>
        </is>
      </c>
      <c r="H1010" s="14" t="inlineStr">
        <is>
          <t>DOT76527</t>
        </is>
      </c>
      <c r="I1010" s="16" t="n">
        <v>0.128</v>
      </c>
      <c r="J1010" s="13" t="inlineStr">
        <is>
          <t>ProMaster Brake Line Rubbing Collision Abrasion Leak</t>
        </is>
      </c>
      <c r="K1010" s="14" t="inlineStr">
        <is>
          <t>Warm Prospect</t>
        </is>
      </c>
      <c r="L1010" s="17">
        <f>IF(C1010&gt;0, 99 + (C1010 * 2.5), 0)</f>
        <v/>
      </c>
    </row>
    <row r="1011">
      <c r="A1011" s="8" t="inlineStr">
        <is>
          <t>Summerlin Wiring Solutions Group</t>
        </is>
      </c>
      <c r="B1011" s="9" t="inlineStr">
        <is>
          <t>Electrical Services</t>
        </is>
      </c>
      <c r="C1011" s="10" t="n">
        <v>11</v>
      </c>
      <c r="D1011" s="8" t="inlineStr">
        <is>
          <t>Chevy Express 3500</t>
        </is>
      </c>
      <c r="E1011" s="8" t="inlineStr">
        <is>
          <t>Mark Johnson</t>
        </is>
      </c>
      <c r="F1011" s="8" t="inlineStr">
        <is>
          <t>mark@summerlinwiringsolutionsgroup.com</t>
        </is>
      </c>
      <c r="G1011" s="8" t="inlineStr">
        <is>
          <t>702-555-1254</t>
        </is>
      </c>
      <c r="H1011" s="9" t="inlineStr">
        <is>
          <t>DOT13440</t>
        </is>
      </c>
      <c r="I1011" s="11" t="n">
        <v>0.08799999999999999</v>
      </c>
      <c r="J1011" s="8" t="inlineStr">
        <is>
          <t>Express Engine Bay Hose Thermal Crack Hazard</t>
        </is>
      </c>
      <c r="K1011" s="9" t="inlineStr">
        <is>
          <t>Warm Prospect</t>
        </is>
      </c>
      <c r="L1011" s="12">
        <f>IF(C1011&gt;0, 99 + (C1011 * 2.5), 0)</f>
        <v/>
      </c>
    </row>
    <row r="1012">
      <c r="A1012" s="13" t="inlineStr">
        <is>
          <t>Summerlin Charter Buses Group</t>
        </is>
      </c>
      <c r="B1012" s="14" t="inlineStr">
        <is>
          <t>Boutique Transit</t>
        </is>
      </c>
      <c r="C1012" s="15" t="n">
        <v>95</v>
      </c>
      <c r="D1012" s="13" t="inlineStr">
        <is>
          <t>Mercedes-Benz Sprinter 3500</t>
        </is>
      </c>
      <c r="E1012" s="13" t="inlineStr">
        <is>
          <t>William Jackson</t>
        </is>
      </c>
      <c r="F1012" s="13" t="inlineStr">
        <is>
          <t>william@summerlincharterbusesgroup.com</t>
        </is>
      </c>
      <c r="G1012" s="13" t="inlineStr">
        <is>
          <t>702-555-8045</t>
        </is>
      </c>
      <c r="H1012" s="14" t="inlineStr">
        <is>
          <t>DOT41697</t>
        </is>
      </c>
      <c r="I1012" s="16" t="n">
        <v>0.212</v>
      </c>
      <c r="J1012" s="13" t="inlineStr">
        <is>
          <t>Sprinter AC Comp Condensation Drain Backup Wiring Short</t>
        </is>
      </c>
      <c r="K1012" s="14" t="inlineStr">
        <is>
          <t>Warm Prospect</t>
        </is>
      </c>
      <c r="L1012" s="17">
        <f>IF(C1012&gt;0, 99 + (C1012 * 2.5), 0)</f>
        <v/>
      </c>
    </row>
    <row r="1013">
      <c r="A1013" s="8" t="inlineStr">
        <is>
          <t>Las Vegas Mechanical Services LLC</t>
        </is>
      </c>
      <c r="B1013" s="9" t="inlineStr">
        <is>
          <t>HVAC/Plumbing</t>
        </is>
      </c>
      <c r="C1013" s="10" t="n">
        <v>119</v>
      </c>
      <c r="D1013" s="8" t="inlineStr">
        <is>
          <t>Ford Transit 250</t>
        </is>
      </c>
      <c r="E1013" s="8" t="inlineStr">
        <is>
          <t>David Gonzalez</t>
        </is>
      </c>
      <c r="F1013" s="8" t="inlineStr">
        <is>
          <t>david@lasvegasmechanicalservicesllc.com</t>
        </is>
      </c>
      <c r="G1013" s="8" t="inlineStr">
        <is>
          <t>702-555-3846</t>
        </is>
      </c>
      <c r="H1013" s="9" t="inlineStr">
        <is>
          <t>DOT62837</t>
        </is>
      </c>
      <c r="I1013" s="11" t="n">
        <v>0.32</v>
      </c>
      <c r="J1013" s="8" t="inlineStr">
        <is>
          <t>Transit 114°F Electrical Module Overheat Wire Ground Fire Risk</t>
        </is>
      </c>
      <c r="K1013" s="9" t="inlineStr">
        <is>
          <t>Audit Run</t>
        </is>
      </c>
      <c r="L1013" s="12">
        <f>IF(C1013&gt;0, 99 + (C1013 * 2.5), 0)</f>
        <v/>
      </c>
    </row>
    <row r="1014">
      <c r="A1014" s="13" t="inlineStr">
        <is>
          <t>Titan Plumbing &amp; Drain Inc</t>
        </is>
      </c>
      <c r="B1014" s="14" t="inlineStr">
        <is>
          <t>HVAC/Plumbing</t>
        </is>
      </c>
      <c r="C1014" s="15" t="n">
        <v>139</v>
      </c>
      <c r="D1014" s="13" t="inlineStr">
        <is>
          <t>Ford Transit 350</t>
        </is>
      </c>
      <c r="E1014" s="13" t="inlineStr">
        <is>
          <t>Robert Jackson</t>
        </is>
      </c>
      <c r="F1014" s="13" t="inlineStr">
        <is>
          <t>robert@titanplumbingdraininc.com</t>
        </is>
      </c>
      <c r="G1014" s="13" t="inlineStr">
        <is>
          <t>702-555-7422</t>
        </is>
      </c>
      <c r="H1014" s="14" t="inlineStr">
        <is>
          <t>DOT92223</t>
        </is>
      </c>
      <c r="I1014" s="16" t="n">
        <v>0.324</v>
      </c>
      <c r="J1014" s="13" t="inlineStr">
        <is>
          <t>Transit 114°F Electrical Module Overheat Wire Ground Fire Risk</t>
        </is>
      </c>
      <c r="K1014" s="14" t="inlineStr">
        <is>
          <t>Audit Run</t>
        </is>
      </c>
      <c r="L1014" s="17">
        <f>IF(C1014&gt;0, 99 + (C1014 * 2.5), 0)</f>
        <v/>
      </c>
    </row>
    <row r="1015">
      <c r="A1015" s="8" t="inlineStr">
        <is>
          <t>Valley Plumbing &amp; Drain Inc</t>
        </is>
      </c>
      <c r="B1015" s="9" t="inlineStr">
        <is>
          <t>HVAC/Plumbing</t>
        </is>
      </c>
      <c r="C1015" s="10" t="n">
        <v>16</v>
      </c>
      <c r="D1015" s="8" t="inlineStr">
        <is>
          <t>Ford Transit 250</t>
        </is>
      </c>
      <c r="E1015" s="8" t="inlineStr">
        <is>
          <t>Mark Smith</t>
        </is>
      </c>
      <c r="F1015" s="8" t="inlineStr">
        <is>
          <t>mark@valleyplumbingdraininc.com</t>
        </is>
      </c>
      <c r="G1015" s="8" t="inlineStr">
        <is>
          <t>702-555-3507</t>
        </is>
      </c>
      <c r="H1015" s="9" t="inlineStr">
        <is>
          <t>DOT13646</t>
        </is>
      </c>
      <c r="I1015" s="11" t="n">
        <v>0.232</v>
      </c>
      <c r="J1015" s="8" t="inlineStr">
        <is>
          <t>Transit 114°F Electrical Module Overheat Wire Ground Fire Risk</t>
        </is>
      </c>
      <c r="K1015" s="9" t="inlineStr">
        <is>
          <t>Audit Run</t>
        </is>
      </c>
      <c r="L1015" s="12">
        <f>IF(C1015&gt;0, 99 + (C1015 * 2.5), 0)</f>
        <v/>
      </c>
    </row>
    <row r="1016">
      <c r="A1016" s="13" t="inlineStr">
        <is>
          <t>Las Vegas Comfort Heating Inc</t>
        </is>
      </c>
      <c r="B1016" s="14" t="inlineStr">
        <is>
          <t>HVAC/Plumbing</t>
        </is>
      </c>
      <c r="C1016" s="15" t="n">
        <v>126</v>
      </c>
      <c r="D1016" s="13" t="inlineStr">
        <is>
          <t>Ford Transit 350</t>
        </is>
      </c>
      <c r="E1016" s="13" t="inlineStr">
        <is>
          <t>Matthew Garcia</t>
        </is>
      </c>
      <c r="F1016" s="13" t="inlineStr">
        <is>
          <t>matthew@lasvegascomfortheatinginc.com</t>
        </is>
      </c>
      <c r="G1016" s="13" t="inlineStr">
        <is>
          <t>702-555-4927</t>
        </is>
      </c>
      <c r="H1016" s="14" t="inlineStr">
        <is>
          <t>DOT95527</t>
        </is>
      </c>
      <c r="I1016" s="16" t="n">
        <v>0.318</v>
      </c>
      <c r="J1016" s="13" t="inlineStr">
        <is>
          <t>Transit 114°F Electrical Module Overheat Wire Ground Fire Risk</t>
        </is>
      </c>
      <c r="K1016" s="14" t="inlineStr">
        <is>
          <t>Warm Prospect</t>
        </is>
      </c>
      <c r="L1016" s="17">
        <f>IF(C1016&gt;0, 99 + (C1016 * 2.5), 0)</f>
        <v/>
      </c>
    </row>
    <row r="1017">
      <c r="A1017" s="8" t="inlineStr">
        <is>
          <t>High Rise Plumbing &amp; Drain Group</t>
        </is>
      </c>
      <c r="B1017" s="9" t="inlineStr">
        <is>
          <t>HVAC/Plumbing</t>
        </is>
      </c>
      <c r="C1017" s="10" t="n">
        <v>76</v>
      </c>
      <c r="D1017" s="8" t="inlineStr">
        <is>
          <t>GMC Savana 2500</t>
        </is>
      </c>
      <c r="E1017" s="8" t="inlineStr">
        <is>
          <t>Michael Rodriguez</t>
        </is>
      </c>
      <c r="F1017" s="8" t="inlineStr">
        <is>
          <t>michael@highriseplumbingdraingroup.com</t>
        </is>
      </c>
      <c r="G1017" s="8" t="inlineStr">
        <is>
          <t>702-555-2359</t>
        </is>
      </c>
      <c r="H1017" s="9" t="inlineStr">
        <is>
          <t>DOT28844</t>
        </is>
      </c>
      <c r="I1017" s="11" t="n">
        <v>0.235</v>
      </c>
      <c r="J1017" s="8" t="inlineStr">
        <is>
          <t>Savana Desert Fuel Line Seal Degradation Failure</t>
        </is>
      </c>
      <c r="K1017" s="9" t="inlineStr">
        <is>
          <t>Audit Run</t>
        </is>
      </c>
      <c r="L1017" s="12">
        <f>IF(C1017&gt;0, 99 + (C1017 * 2.5), 0)</f>
        <v/>
      </c>
    </row>
    <row r="1018">
      <c r="A1018" s="13" t="inlineStr">
        <is>
          <t>Apex Comfort Heating Group</t>
        </is>
      </c>
      <c r="B1018" s="14" t="inlineStr">
        <is>
          <t>HVAC/Plumbing</t>
        </is>
      </c>
      <c r="C1018" s="15" t="n">
        <v>37</v>
      </c>
      <c r="D1018" s="13" t="inlineStr">
        <is>
          <t>Ford Transit 250</t>
        </is>
      </c>
      <c r="E1018" s="13" t="inlineStr">
        <is>
          <t>David Martinez</t>
        </is>
      </c>
      <c r="F1018" s="13" t="inlineStr">
        <is>
          <t>david@apexcomfortheatinggroup.com</t>
        </is>
      </c>
      <c r="G1018" s="13" t="inlineStr">
        <is>
          <t>702-555-5292</t>
        </is>
      </c>
      <c r="H1018" s="14" t="inlineStr">
        <is>
          <t>DOT33675</t>
        </is>
      </c>
      <c r="I1018" s="16" t="n">
        <v>0.06900000000000001</v>
      </c>
      <c r="J1018" s="13" t="inlineStr">
        <is>
          <t>Transit 114°F Electrical Module Overheat Wire Ground Fire Risk</t>
        </is>
      </c>
      <c r="K1018" s="14" t="inlineStr">
        <is>
          <t>Warm Prospect</t>
        </is>
      </c>
      <c r="L1018" s="17">
        <f>IF(C1018&gt;0, 99 + (C1018 * 2.5), 0)</f>
        <v/>
      </c>
    </row>
    <row r="1019">
      <c r="A1019" s="8" t="inlineStr">
        <is>
          <t>Spring Valley Power Systems LLC</t>
        </is>
      </c>
      <c r="B1019" s="9" t="inlineStr">
        <is>
          <t>Electrical Services</t>
        </is>
      </c>
      <c r="C1019" s="10" t="n">
        <v>135</v>
      </c>
      <c r="D1019" s="8" t="inlineStr">
        <is>
          <t>Chevy Express 2500</t>
        </is>
      </c>
      <c r="E1019" s="8" t="inlineStr">
        <is>
          <t>John Wilson</t>
        </is>
      </c>
      <c r="F1019" s="8" t="inlineStr">
        <is>
          <t>john@springvalleypowersystemsllc.com</t>
        </is>
      </c>
      <c r="G1019" s="8" t="inlineStr">
        <is>
          <t>702-555-2205</t>
        </is>
      </c>
      <c r="H1019" s="9" t="inlineStr">
        <is>
          <t>DOT73768</t>
        </is>
      </c>
      <c r="I1019" s="11" t="n">
        <v>0.337</v>
      </c>
      <c r="J1019" s="8" t="inlineStr">
        <is>
          <t>Express Engine Bay Hose Thermal Crack Hazard</t>
        </is>
      </c>
      <c r="K1019" s="9" t="inlineStr">
        <is>
          <t>Warm Prospect</t>
        </is>
      </c>
      <c r="L1019" s="12">
        <f>IF(C1019&gt;0, 99 + (C1019 * 2.5), 0)</f>
        <v/>
      </c>
    </row>
    <row r="1020">
      <c r="A1020" s="13" t="inlineStr">
        <is>
          <t>Vegas Valley Comfort Heating LLC</t>
        </is>
      </c>
      <c r="B1020" s="14" t="inlineStr">
        <is>
          <t>HVAC/Plumbing</t>
        </is>
      </c>
      <c r="C1020" s="15" t="n">
        <v>125</v>
      </c>
      <c r="D1020" s="13" t="inlineStr">
        <is>
          <t>Ford Transit 150</t>
        </is>
      </c>
      <c r="E1020" s="13" t="inlineStr">
        <is>
          <t>William Garcia</t>
        </is>
      </c>
      <c r="F1020" s="13" t="inlineStr">
        <is>
          <t>william@vegasvalleycomfortheatingllc.com</t>
        </is>
      </c>
      <c r="G1020" s="13" t="inlineStr">
        <is>
          <t>702-555-5894</t>
        </is>
      </c>
      <c r="H1020" s="14" t="inlineStr">
        <is>
          <t>DOT11329</t>
        </is>
      </c>
      <c r="I1020" s="16" t="n">
        <v>0.32</v>
      </c>
      <c r="J1020" s="13" t="inlineStr">
        <is>
          <t>Transit 114°F Electrical Module Overheat Wire Ground Fire Risk</t>
        </is>
      </c>
      <c r="K1020" s="14" t="inlineStr">
        <is>
          <t>Audit Run</t>
        </is>
      </c>
      <c r="L1020" s="17">
        <f>IF(C1020&gt;0, 99 + (C1020 * 2.5), 0)</f>
        <v/>
      </c>
    </row>
    <row r="1021">
      <c r="A1021" s="8" t="inlineStr">
        <is>
          <t>Las Vegas Shuttles Inc</t>
        </is>
      </c>
      <c r="B1021" s="9" t="inlineStr">
        <is>
          <t>Boutique Transit</t>
        </is>
      </c>
      <c r="C1021" s="10" t="n">
        <v>98</v>
      </c>
      <c r="D1021" s="8" t="inlineStr">
        <is>
          <t>Mercedes-Benz Sprinter 3500</t>
        </is>
      </c>
      <c r="E1021" s="8" t="inlineStr">
        <is>
          <t>Steven Martin</t>
        </is>
      </c>
      <c r="F1021" s="8" t="inlineStr">
        <is>
          <t>steven@lasvegasshuttlesinc.com</t>
        </is>
      </c>
      <c r="G1021" s="8" t="inlineStr">
        <is>
          <t>702-555-9953</t>
        </is>
      </c>
      <c r="H1021" s="9" t="inlineStr">
        <is>
          <t>DOT10657</t>
        </is>
      </c>
      <c r="I1021" s="11" t="n">
        <v>0.089</v>
      </c>
      <c r="J1021" s="8" t="inlineStr">
        <is>
          <t>Sprinter AC Comp Condensation Drain Backup Wiring Short</t>
        </is>
      </c>
      <c r="K1021" s="9" t="inlineStr">
        <is>
          <t>Warm Prospect</t>
        </is>
      </c>
      <c r="L1021" s="12">
        <f>IF(C1021&gt;0, 99 + (C1021 * 2.5), 0)</f>
        <v/>
      </c>
    </row>
    <row r="1022">
      <c r="A1022" s="13" t="inlineStr">
        <is>
          <t>Sunset Plumbing Experts Inc</t>
        </is>
      </c>
      <c r="B1022" s="14" t="inlineStr">
        <is>
          <t>HVAC/Plumbing</t>
        </is>
      </c>
      <c r="C1022" s="15" t="n">
        <v>15</v>
      </c>
      <c r="D1022" s="13" t="inlineStr">
        <is>
          <t>Chevy Express 2500</t>
        </is>
      </c>
      <c r="E1022" s="13" t="inlineStr">
        <is>
          <t>Paul Taylor</t>
        </is>
      </c>
      <c r="F1022" s="13" t="inlineStr">
        <is>
          <t>paul@sunsetplumbingexpertsinc.com</t>
        </is>
      </c>
      <c r="G1022" s="13" t="inlineStr">
        <is>
          <t>702-555-3496</t>
        </is>
      </c>
      <c r="H1022" s="14" t="inlineStr">
        <is>
          <t>DOT38351</t>
        </is>
      </c>
      <c r="I1022" s="16" t="n">
        <v>0.309</v>
      </c>
      <c r="J1022" s="13" t="inlineStr">
        <is>
          <t>Express Engine Bay Hose Thermal Crack Hazard</t>
        </is>
      </c>
      <c r="K1022" s="14" t="inlineStr">
        <is>
          <t>Warm Prospect</t>
        </is>
      </c>
      <c r="L1022" s="17">
        <f>IF(C1022&gt;0, 99 + (C1022 * 2.5), 0)</f>
        <v/>
      </c>
    </row>
    <row r="1023">
      <c r="A1023" s="8" t="inlineStr">
        <is>
          <t>Silver State HVAC Services Inc</t>
        </is>
      </c>
      <c r="B1023" s="9" t="inlineStr">
        <is>
          <t>HVAC/Plumbing</t>
        </is>
      </c>
      <c r="C1023" s="10" t="n">
        <v>31</v>
      </c>
      <c r="D1023" s="8" t="inlineStr">
        <is>
          <t>Ford Transit 350</t>
        </is>
      </c>
      <c r="E1023" s="8" t="inlineStr">
        <is>
          <t>David Rodriguez</t>
        </is>
      </c>
      <c r="F1023" s="8" t="inlineStr">
        <is>
          <t>david@silverstatehvacservicesinc.com</t>
        </is>
      </c>
      <c r="G1023" s="8" t="inlineStr">
        <is>
          <t>702-555-5483</t>
        </is>
      </c>
      <c r="H1023" s="9" t="inlineStr">
        <is>
          <t>DOT73120</t>
        </is>
      </c>
      <c r="I1023" s="11" t="n">
        <v>0.102</v>
      </c>
      <c r="J1023" s="8" t="inlineStr">
        <is>
          <t>Transit 114°F Electrical Module Overheat Wire Ground Fire Risk</t>
        </is>
      </c>
      <c r="K1023" s="9" t="inlineStr">
        <is>
          <t>Warm Prospect</t>
        </is>
      </c>
      <c r="L1023" s="12">
        <f>IF(C1023&gt;0, 99 + (C1023 * 2.5), 0)</f>
        <v/>
      </c>
    </row>
    <row r="1024">
      <c r="A1024" s="13" t="inlineStr">
        <is>
          <t>Clark County Lighting &amp; Power Group</t>
        </is>
      </c>
      <c r="B1024" s="14" t="inlineStr">
        <is>
          <t>Electrical Services</t>
        </is>
      </c>
      <c r="C1024" s="15" t="n">
        <v>129</v>
      </c>
      <c r="D1024" s="13" t="inlineStr">
        <is>
          <t>Ram ProMaster 2500</t>
        </is>
      </c>
      <c r="E1024" s="13" t="inlineStr">
        <is>
          <t>Steven Wilson</t>
        </is>
      </c>
      <c r="F1024" s="13" t="inlineStr">
        <is>
          <t>steven@clarkcountylightingpowergroup.com</t>
        </is>
      </c>
      <c r="G1024" s="13" t="inlineStr">
        <is>
          <t>702-555-9399</t>
        </is>
      </c>
      <c r="H1024" s="14" t="inlineStr">
        <is>
          <t>DOT62421</t>
        </is>
      </c>
      <c r="I1024" s="16" t="n">
        <v>0.326</v>
      </c>
      <c r="J1024" s="13" t="inlineStr">
        <is>
          <t>ProMaster Brake Line Rubbing Collision Abrasion Leak</t>
        </is>
      </c>
      <c r="K1024" s="14" t="inlineStr">
        <is>
          <t>Warm Prospect</t>
        </is>
      </c>
      <c r="L1024" s="17">
        <f>IF(C1024&gt;0, 99 + (C1024 * 2.5), 0)</f>
        <v/>
      </c>
    </row>
    <row r="1025">
      <c r="A1025" s="8" t="inlineStr">
        <is>
          <t>Sunset Mechanical Services Group</t>
        </is>
      </c>
      <c r="B1025" s="9" t="inlineStr">
        <is>
          <t>HVAC/Plumbing</t>
        </is>
      </c>
      <c r="C1025" s="10" t="n">
        <v>110</v>
      </c>
      <c r="D1025" s="8" t="inlineStr">
        <is>
          <t>Ford Transit 150</t>
        </is>
      </c>
      <c r="E1025" s="8" t="inlineStr">
        <is>
          <t>Robert Jackson</t>
        </is>
      </c>
      <c r="F1025" s="8" t="inlineStr">
        <is>
          <t>robert@sunsetmechanicalservicesgroup.com</t>
        </is>
      </c>
      <c r="G1025" s="8" t="inlineStr">
        <is>
          <t>702-555-6105</t>
        </is>
      </c>
      <c r="H1025" s="9" t="inlineStr">
        <is>
          <t>DOT31712</t>
        </is>
      </c>
      <c r="I1025" s="11" t="n">
        <v>0.286</v>
      </c>
      <c r="J1025" s="8" t="inlineStr">
        <is>
          <t>Transit 114°F Electrical Module Overheat Wire Ground Fire Risk</t>
        </is>
      </c>
      <c r="K1025" s="9" t="inlineStr">
        <is>
          <t>Warm Prospect</t>
        </is>
      </c>
      <c r="L1025" s="12">
        <f>IF(C1025&gt;0, 99 + (C1025 * 2.5), 0)</f>
        <v/>
      </c>
    </row>
    <row r="1026">
      <c r="A1026" s="13" t="inlineStr">
        <is>
          <t>Spring Valley Wiring Solutions LLC</t>
        </is>
      </c>
      <c r="B1026" s="14" t="inlineStr">
        <is>
          <t>Electrical Services</t>
        </is>
      </c>
      <c r="C1026" s="15" t="n">
        <v>91</v>
      </c>
      <c r="D1026" s="13" t="inlineStr">
        <is>
          <t>Ram ProMaster 2500</t>
        </is>
      </c>
      <c r="E1026" s="13" t="inlineStr">
        <is>
          <t>Kenneth Brown</t>
        </is>
      </c>
      <c r="F1026" s="13" t="inlineStr">
        <is>
          <t>kenneth@springvalleywiringsolutionsllc.com</t>
        </is>
      </c>
      <c r="G1026" s="13" t="inlineStr">
        <is>
          <t>702-555-7275</t>
        </is>
      </c>
      <c r="H1026" s="14" t="inlineStr">
        <is>
          <t>DOT66270</t>
        </is>
      </c>
      <c r="I1026" s="16" t="n">
        <v>0.102</v>
      </c>
      <c r="J1026" s="13" t="inlineStr">
        <is>
          <t>ProMaster Brake Line Rubbing Collision Abrasion Leak</t>
        </is>
      </c>
      <c r="K1026" s="14" t="inlineStr">
        <is>
          <t>Warm Prospect</t>
        </is>
      </c>
      <c r="L1026" s="17">
        <f>IF(C1026&gt;0, 99 + (C1026 * 2.5), 0)</f>
        <v/>
      </c>
    </row>
    <row r="1027">
      <c r="A1027" s="8" t="inlineStr">
        <is>
          <t>Spring Valley Electric Pros Inc</t>
        </is>
      </c>
      <c r="B1027" s="9" t="inlineStr">
        <is>
          <t>Electrical Services</t>
        </is>
      </c>
      <c r="C1027" s="10" t="n">
        <v>52</v>
      </c>
      <c r="D1027" s="8" t="inlineStr">
        <is>
          <t>Ram ProMaster 1500</t>
        </is>
      </c>
      <c r="E1027" s="8" t="inlineStr">
        <is>
          <t>Michael Taylor</t>
        </is>
      </c>
      <c r="F1027" s="8" t="inlineStr">
        <is>
          <t>michael@springvalleyelectricprosinc.com</t>
        </is>
      </c>
      <c r="G1027" s="8" t="inlineStr">
        <is>
          <t>702-555-5146</t>
        </is>
      </c>
      <c r="H1027" s="9" t="inlineStr">
        <is>
          <t>DOT86922</t>
        </is>
      </c>
      <c r="I1027" s="11" t="n">
        <v>0.167</v>
      </c>
      <c r="J1027" s="8" t="inlineStr">
        <is>
          <t>ProMaster Brake Line Rubbing Collision Abrasion Leak</t>
        </is>
      </c>
      <c r="K1027" s="9" t="inlineStr">
        <is>
          <t>Audit Run</t>
        </is>
      </c>
      <c r="L1027" s="12">
        <f>IF(C1027&gt;0, 99 + (C1027 * 2.5), 0)</f>
        <v/>
      </c>
    </row>
    <row r="1028">
      <c r="A1028" s="13" t="inlineStr">
        <is>
          <t>High Rise Chauffeurs LLC</t>
        </is>
      </c>
      <c r="B1028" s="14" t="inlineStr">
        <is>
          <t>Boutique Transit</t>
        </is>
      </c>
      <c r="C1028" s="15" t="n">
        <v>39</v>
      </c>
      <c r="D1028" s="13" t="inlineStr">
        <is>
          <t>Mercedes-Benz Sprinter 2500</t>
        </is>
      </c>
      <c r="E1028" s="13" t="inlineStr">
        <is>
          <t>William Hernandez</t>
        </is>
      </c>
      <c r="F1028" s="13" t="inlineStr">
        <is>
          <t>william@highrisechauffeursllc.com</t>
        </is>
      </c>
      <c r="G1028" s="13" t="inlineStr">
        <is>
          <t>702-555-8035</t>
        </is>
      </c>
      <c r="H1028" s="14" t="inlineStr">
        <is>
          <t>DOT34368</t>
        </is>
      </c>
      <c r="I1028" s="16" t="n">
        <v>0.151</v>
      </c>
      <c r="J1028" s="13" t="inlineStr">
        <is>
          <t>Sprinter AC Comp Condensation Drain Backup Wiring Short</t>
        </is>
      </c>
      <c r="K1028" s="14" t="inlineStr">
        <is>
          <t>Warm Prospect</t>
        </is>
      </c>
      <c r="L1028" s="17">
        <f>IF(C1028&gt;0, 99 + (C1028 * 2.5), 0)</f>
        <v/>
      </c>
    </row>
    <row r="1029">
      <c r="A1029" s="8" t="inlineStr">
        <is>
          <t>Vegas Valley HVAC Services LLC</t>
        </is>
      </c>
      <c r="B1029" s="9" t="inlineStr">
        <is>
          <t>HVAC/Plumbing</t>
        </is>
      </c>
      <c r="C1029" s="10" t="n">
        <v>90</v>
      </c>
      <c r="D1029" s="8" t="inlineStr">
        <is>
          <t>Ford Transit 350</t>
        </is>
      </c>
      <c r="E1029" s="8" t="inlineStr">
        <is>
          <t>Robert Smith</t>
        </is>
      </c>
      <c r="F1029" s="8" t="inlineStr">
        <is>
          <t>robert@vegasvalleyhvacservicesllc.com</t>
        </is>
      </c>
      <c r="G1029" s="8" t="inlineStr">
        <is>
          <t>702-555-6219</t>
        </is>
      </c>
      <c r="H1029" s="9" t="inlineStr">
        <is>
          <t>DOT11428</t>
        </is>
      </c>
      <c r="I1029" s="11" t="n">
        <v>0.262</v>
      </c>
      <c r="J1029" s="8" t="inlineStr">
        <is>
          <t>Transit 114°F Electrical Module Overheat Wire Ground Fire Risk</t>
        </is>
      </c>
      <c r="K1029" s="9" t="inlineStr">
        <is>
          <t>Warm Prospect</t>
        </is>
      </c>
      <c r="L1029" s="12">
        <f>IF(C1029&gt;0, 99 + (C1029 * 2.5), 0)</f>
        <v/>
      </c>
    </row>
    <row r="1030">
      <c r="A1030" s="13" t="inlineStr">
        <is>
          <t>Las Vegas Electrical Contractors Inc</t>
        </is>
      </c>
      <c r="B1030" s="14" t="inlineStr">
        <is>
          <t>Electrical Services</t>
        </is>
      </c>
      <c r="C1030" s="15" t="n">
        <v>108</v>
      </c>
      <c r="D1030" s="13" t="inlineStr">
        <is>
          <t>Chevy Express 2500</t>
        </is>
      </c>
      <c r="E1030" s="13" t="inlineStr">
        <is>
          <t>Christopher Martin</t>
        </is>
      </c>
      <c r="F1030" s="13" t="inlineStr">
        <is>
          <t>christopher@lasvegaselectricalcontractorsinc.com</t>
        </is>
      </c>
      <c r="G1030" s="13" t="inlineStr">
        <is>
          <t>702-555-4476</t>
        </is>
      </c>
      <c r="H1030" s="14" t="inlineStr">
        <is>
          <t>DOT79109</t>
        </is>
      </c>
      <c r="I1030" s="16" t="n">
        <v>0.107</v>
      </c>
      <c r="J1030" s="13" t="inlineStr">
        <is>
          <t>Express Engine Bay Hose Thermal Crack Hazard</t>
        </is>
      </c>
      <c r="K1030" s="14" t="inlineStr">
        <is>
          <t>Audit Run</t>
        </is>
      </c>
      <c r="L1030" s="17">
        <f>IF(C1030&gt;0, 99 + (C1030 * 2.5), 0)</f>
        <v/>
      </c>
    </row>
  </sheetData>
  <mergeCells count="12">
    <mergeCell ref="D6:E6"/>
    <mergeCell ref="A2:L2"/>
    <mergeCell ref="J5:K5"/>
    <mergeCell ref="J6:K6"/>
    <mergeCell ref="A1:L1"/>
    <mergeCell ref="D5:E5"/>
    <mergeCell ref="A5:B5"/>
    <mergeCell ref="G5:H5"/>
    <mergeCell ref="A8:L8"/>
    <mergeCell ref="G6:H6"/>
    <mergeCell ref="A6:B6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RecallLogic Outreach Funnel Forecasting Model</t>
        </is>
      </c>
    </row>
    <row r="2">
      <c r="A2" s="2" t="inlineStr">
        <is>
          <t>Interactive forecasting sandbox for the Clark County, NV Campaign</t>
        </is>
      </c>
    </row>
    <row r="4">
      <c r="A4" s="7" t="inlineStr">
        <is>
          <t>Funnel Stage</t>
        </is>
      </c>
      <c r="B4" s="7" t="inlineStr">
        <is>
          <t>Conversion Ratio</t>
        </is>
      </c>
      <c r="C4" s="7" t="inlineStr">
        <is>
          <t>Projected Accounts</t>
        </is>
      </c>
      <c r="D4" s="7" t="inlineStr">
        <is>
          <t>Conversion Rate Basis</t>
        </is>
      </c>
    </row>
    <row r="5">
      <c r="A5" s="18" t="inlineStr">
        <is>
          <t>Total Prospects</t>
        </is>
      </c>
      <c r="B5" s="19" t="n">
        <v>1</v>
      </c>
      <c r="C5" s="15">
        <f>'Prospect Database'!A6</f>
        <v/>
      </c>
      <c r="D5" s="20" t="inlineStr">
        <is>
          <t>Full Campaign Database Sourced</t>
        </is>
      </c>
    </row>
    <row r="6">
      <c r="A6" s="18" t="inlineStr">
        <is>
          <t>Email Opens</t>
        </is>
      </c>
      <c r="B6" s="19" t="n">
        <v>0.35</v>
      </c>
      <c r="C6" s="15">
        <f>C5 * B6</f>
        <v/>
      </c>
      <c r="D6" s="20" t="inlineStr">
        <is>
          <t>Optimized Mojave Heat Hook Factor</t>
        </is>
      </c>
    </row>
    <row r="7">
      <c r="A7" s="18" t="inlineStr">
        <is>
          <t>Free Ghost Audits Run</t>
        </is>
      </c>
      <c r="B7" s="19" t="n">
        <v>0.2</v>
      </c>
      <c r="C7" s="15">
        <f>C6 * B7</f>
        <v/>
      </c>
      <c r="D7" s="20" t="inlineStr">
        <is>
          <t>Zero-Friction 10-VIN Sweep Lead Magnet</t>
        </is>
      </c>
    </row>
    <row r="8">
      <c r="A8" s="18" t="inlineStr">
        <is>
          <t>Paid Premium Upgrades</t>
        </is>
      </c>
      <c r="B8" s="19" t="n">
        <v>0.15</v>
      </c>
      <c r="C8" s="15">
        <f>C7 * B8</f>
        <v/>
      </c>
      <c r="D8" s="20" t="inlineStr">
        <is>
          <t>Stripe Core SaaS Conversion</t>
        </is>
      </c>
    </row>
    <row r="10">
      <c r="A10" s="21" t="inlineStr">
        <is>
          <t>FINANCIAL MODEL FORECAST</t>
        </is>
      </c>
    </row>
    <row r="11">
      <c r="A11" s="18" t="inlineStr">
        <is>
          <t>Projected Monthly Recurring Revenue (MRR)</t>
        </is>
      </c>
      <c r="C11" s="22">
        <f>C8 * ('Prospect Database'!G6 / 'Prospect Database'!A6)</f>
        <v/>
      </c>
      <c r="D11" s="20" t="inlineStr">
        <is>
          <t>Based on $99 base + $2.50/vehicle pricing model</t>
        </is>
      </c>
    </row>
    <row r="12">
      <c r="A12" s="18" t="inlineStr">
        <is>
          <t>Projected Annual Recurring Revenue (ARR)</t>
        </is>
      </c>
      <c r="C12" s="22">
        <f>C11 * 12</f>
        <v/>
      </c>
      <c r="D12" s="20" t="inlineStr">
        <is>
          <t>12x MRR run-rate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2026-07-07T16:47:44Z</dcterms:created>
  <dcterms:modified xmlns:dcterms="http://purl.org/dc/terms/" xmlns:xsi="http://www.w3.org/2001/XMLSchema-instance" xsi:type="dcterms:W3CDTF">2026-07-07T16:47:45Z</dcterms:modified>
</cp:coreProperties>
</file>